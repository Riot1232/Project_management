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alinochka/Desktop/"/>
    </mc:Choice>
  </mc:AlternateContent>
  <xr:revisionPtr revIDLastSave="0" documentId="8_{2FFB3337-21E2-D84D-B24C-C2996BD9D764}" xr6:coauthVersionLast="47" xr6:coauthVersionMax="47" xr10:uidLastSave="{00000000-0000-0000-0000-000000000000}"/>
  <bookViews>
    <workbookView xWindow="0" yWindow="680" windowWidth="34200" windowHeight="19900" activeTab="9" xr2:uid="{00000000-000D-0000-FFFF-FFFF00000000}"/>
  </bookViews>
  <sheets>
    <sheet name="Титульник" sheetId="1" r:id="rId1"/>
    <sheet name="Шкала_Саати" sheetId="2" r:id="rId2"/>
    <sheet name="Ответы_Forms" sheetId="3" r:id="rId3"/>
    <sheet name="Числовые_ответы" sheetId="4" r:id="rId4"/>
    <sheet name="Недикова" sheetId="5" r:id="rId5"/>
    <sheet name="Символокова" sheetId="6" r:id="rId6"/>
    <sheet name="Бредихин" sheetId="7" r:id="rId7"/>
    <sheet name="Коллективный_МАИ" sheetId="8" r:id="rId8"/>
    <sheet name="Итоги" sheetId="9" r:id="rId9"/>
    <sheet name="Формулы_и_методика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8" l="1"/>
  <c r="I74" i="8"/>
  <c r="I62" i="8"/>
  <c r="I50" i="8"/>
  <c r="I38" i="8"/>
  <c r="I26" i="8"/>
  <c r="K14" i="8"/>
  <c r="I86" i="7"/>
  <c r="I74" i="7"/>
  <c r="I62" i="7"/>
  <c r="I50" i="7"/>
  <c r="I38" i="7"/>
  <c r="I26" i="7"/>
  <c r="K14" i="7"/>
  <c r="I86" i="6"/>
  <c r="I74" i="6"/>
  <c r="I62" i="6"/>
  <c r="I50" i="6"/>
  <c r="I38" i="6"/>
  <c r="I26" i="6"/>
  <c r="K14" i="6"/>
  <c r="I86" i="5"/>
  <c r="I74" i="5"/>
  <c r="I62" i="5"/>
  <c r="I50" i="5"/>
  <c r="I38" i="5"/>
  <c r="I26" i="5"/>
  <c r="K14" i="5"/>
  <c r="BA4" i="4"/>
  <c r="E82" i="7" s="1"/>
  <c r="D83" i="7" s="1"/>
  <c r="AZ4" i="4"/>
  <c r="E81" i="7" s="1"/>
  <c r="C83" i="7" s="1"/>
  <c r="AY4" i="4"/>
  <c r="D81" i="7" s="1"/>
  <c r="C82" i="7" s="1"/>
  <c r="AX4" i="4"/>
  <c r="E80" i="7" s="1"/>
  <c r="B83" i="7" s="1"/>
  <c r="AW4" i="4"/>
  <c r="D80" i="7" s="1"/>
  <c r="B82" i="7" s="1"/>
  <c r="AV4" i="4"/>
  <c r="C80" i="7" s="1"/>
  <c r="AU4" i="4"/>
  <c r="E70" i="7" s="1"/>
  <c r="D71" i="7" s="1"/>
  <c r="AT4" i="4"/>
  <c r="E69" i="7" s="1"/>
  <c r="C71" i="7" s="1"/>
  <c r="AS4" i="4"/>
  <c r="D69" i="7" s="1"/>
  <c r="C70" i="7" s="1"/>
  <c r="AR4" i="4"/>
  <c r="E68" i="7" s="1"/>
  <c r="B71" i="7" s="1"/>
  <c r="AQ4" i="4"/>
  <c r="D68" i="7" s="1"/>
  <c r="B70" i="7" s="1"/>
  <c r="AP4" i="4"/>
  <c r="C68" i="7" s="1"/>
  <c r="AO4" i="4"/>
  <c r="E58" i="7" s="1"/>
  <c r="D59" i="7" s="1"/>
  <c r="AN4" i="4"/>
  <c r="E57" i="7" s="1"/>
  <c r="C59" i="7" s="1"/>
  <c r="AM4" i="4"/>
  <c r="D57" i="7" s="1"/>
  <c r="C58" i="7" s="1"/>
  <c r="AL4" i="4"/>
  <c r="E56" i="7" s="1"/>
  <c r="B59" i="7" s="1"/>
  <c r="AK4" i="4"/>
  <c r="D56" i="7" s="1"/>
  <c r="B58" i="7" s="1"/>
  <c r="AJ4" i="4"/>
  <c r="C56" i="7" s="1"/>
  <c r="AI4" i="4"/>
  <c r="E46" i="7" s="1"/>
  <c r="D47" i="7" s="1"/>
  <c r="AH4" i="4"/>
  <c r="E45" i="7" s="1"/>
  <c r="C47" i="7" s="1"/>
  <c r="AG4" i="4"/>
  <c r="D45" i="7" s="1"/>
  <c r="C46" i="7" s="1"/>
  <c r="AF4" i="4"/>
  <c r="E44" i="7" s="1"/>
  <c r="B47" i="7" s="1"/>
  <c r="AE4" i="4"/>
  <c r="D44" i="7" s="1"/>
  <c r="B46" i="7" s="1"/>
  <c r="AD4" i="4"/>
  <c r="C44" i="7" s="1"/>
  <c r="AC4" i="4"/>
  <c r="E34" i="7" s="1"/>
  <c r="D35" i="7" s="1"/>
  <c r="AB4" i="4"/>
  <c r="E33" i="7" s="1"/>
  <c r="C35" i="7" s="1"/>
  <c r="AA4" i="4"/>
  <c r="D33" i="7" s="1"/>
  <c r="C34" i="7" s="1"/>
  <c r="Z4" i="4"/>
  <c r="E32" i="7" s="1"/>
  <c r="B35" i="7" s="1"/>
  <c r="Y4" i="4"/>
  <c r="D32" i="7" s="1"/>
  <c r="B34" i="7" s="1"/>
  <c r="F34" i="7" s="1"/>
  <c r="X4" i="4"/>
  <c r="C32" i="7" s="1"/>
  <c r="B33" i="7" s="1"/>
  <c r="W4" i="4"/>
  <c r="E22" i="7" s="1"/>
  <c r="D23" i="7" s="1"/>
  <c r="V4" i="4"/>
  <c r="E21" i="7" s="1"/>
  <c r="C23" i="7" s="1"/>
  <c r="U4" i="4"/>
  <c r="D21" i="7" s="1"/>
  <c r="C22" i="7" s="1"/>
  <c r="T4" i="4"/>
  <c r="E20" i="7" s="1"/>
  <c r="S4" i="4"/>
  <c r="D20" i="7" s="1"/>
  <c r="B22" i="7" s="1"/>
  <c r="R4" i="4"/>
  <c r="C20" i="7" s="1"/>
  <c r="B21" i="7" s="1"/>
  <c r="Q4" i="4"/>
  <c r="G10" i="7" s="1"/>
  <c r="F11" i="7" s="1"/>
  <c r="P4" i="4"/>
  <c r="G9" i="7" s="1"/>
  <c r="E11" i="7" s="1"/>
  <c r="O4" i="4"/>
  <c r="F9" i="7" s="1"/>
  <c r="E10" i="7" s="1"/>
  <c r="N4" i="4"/>
  <c r="G8" i="7" s="1"/>
  <c r="D11" i="7" s="1"/>
  <c r="M4" i="4"/>
  <c r="F8" i="7" s="1"/>
  <c r="D10" i="7" s="1"/>
  <c r="L4" i="4"/>
  <c r="E8" i="7" s="1"/>
  <c r="D9" i="7" s="1"/>
  <c r="K4" i="4"/>
  <c r="G7" i="7" s="1"/>
  <c r="C11" i="7" s="1"/>
  <c r="J4" i="4"/>
  <c r="F7" i="7" s="1"/>
  <c r="C10" i="7" s="1"/>
  <c r="I4" i="4"/>
  <c r="E7" i="7" s="1"/>
  <c r="C9" i="7" s="1"/>
  <c r="H4" i="4"/>
  <c r="D7" i="7" s="1"/>
  <c r="C8" i="7" s="1"/>
  <c r="G4" i="4"/>
  <c r="G6" i="7" s="1"/>
  <c r="B11" i="7" s="1"/>
  <c r="F4" i="4"/>
  <c r="F6" i="7" s="1"/>
  <c r="B10" i="7" s="1"/>
  <c r="E4" i="4"/>
  <c r="E6" i="7" s="1"/>
  <c r="B9" i="7" s="1"/>
  <c r="D4" i="4"/>
  <c r="D6" i="7" s="1"/>
  <c r="B8" i="7" s="1"/>
  <c r="C4" i="4"/>
  <c r="C6" i="7" s="1"/>
  <c r="B4" i="4"/>
  <c r="BA3" i="4"/>
  <c r="E82" i="6" s="1"/>
  <c r="D83" i="6" s="1"/>
  <c r="AZ3" i="4"/>
  <c r="E81" i="6" s="1"/>
  <c r="C83" i="6" s="1"/>
  <c r="AY3" i="4"/>
  <c r="D81" i="6" s="1"/>
  <c r="C82" i="6" s="1"/>
  <c r="AX3" i="4"/>
  <c r="E80" i="6" s="1"/>
  <c r="B83" i="6" s="1"/>
  <c r="AW3" i="4"/>
  <c r="D80" i="6" s="1"/>
  <c r="B82" i="6" s="1"/>
  <c r="AV3" i="4"/>
  <c r="C80" i="6" s="1"/>
  <c r="B81" i="6" s="1"/>
  <c r="F81" i="6" s="1"/>
  <c r="AU3" i="4"/>
  <c r="E70" i="6" s="1"/>
  <c r="D71" i="6" s="1"/>
  <c r="AT3" i="4"/>
  <c r="E69" i="6" s="1"/>
  <c r="C71" i="6" s="1"/>
  <c r="AS3" i="4"/>
  <c r="D69" i="6" s="1"/>
  <c r="C70" i="6" s="1"/>
  <c r="AR3" i="4"/>
  <c r="E68" i="6" s="1"/>
  <c r="B71" i="6" s="1"/>
  <c r="AQ3" i="4"/>
  <c r="D68" i="6" s="1"/>
  <c r="B70" i="6" s="1"/>
  <c r="AP3" i="4"/>
  <c r="C68" i="6" s="1"/>
  <c r="AO3" i="4"/>
  <c r="E58" i="6" s="1"/>
  <c r="D59" i="6" s="1"/>
  <c r="AN3" i="4"/>
  <c r="E57" i="6" s="1"/>
  <c r="C59" i="6" s="1"/>
  <c r="AM3" i="4"/>
  <c r="D57" i="6" s="1"/>
  <c r="C58" i="6" s="1"/>
  <c r="AL3" i="4"/>
  <c r="E56" i="6" s="1"/>
  <c r="B59" i="6" s="1"/>
  <c r="AK3" i="4"/>
  <c r="D56" i="6" s="1"/>
  <c r="B58" i="6" s="1"/>
  <c r="AJ3" i="4"/>
  <c r="C56" i="6" s="1"/>
  <c r="AI3" i="4"/>
  <c r="E46" i="6" s="1"/>
  <c r="D47" i="6" s="1"/>
  <c r="AH3" i="4"/>
  <c r="E45" i="6" s="1"/>
  <c r="C47" i="6" s="1"/>
  <c r="AG3" i="4"/>
  <c r="D45" i="6" s="1"/>
  <c r="C46" i="6" s="1"/>
  <c r="AF3" i="4"/>
  <c r="E44" i="6" s="1"/>
  <c r="B47" i="6" s="1"/>
  <c r="AE3" i="4"/>
  <c r="D44" i="6" s="1"/>
  <c r="B46" i="6" s="1"/>
  <c r="AD3" i="4"/>
  <c r="C44" i="6" s="1"/>
  <c r="AC3" i="4"/>
  <c r="E34" i="6" s="1"/>
  <c r="D35" i="6" s="1"/>
  <c r="AB3" i="4"/>
  <c r="E33" i="6" s="1"/>
  <c r="C35" i="6" s="1"/>
  <c r="AA3" i="4"/>
  <c r="D33" i="6" s="1"/>
  <c r="C34" i="6" s="1"/>
  <c r="Z3" i="4"/>
  <c r="E32" i="6" s="1"/>
  <c r="B35" i="6" s="1"/>
  <c r="Y3" i="4"/>
  <c r="D32" i="6" s="1"/>
  <c r="B34" i="6" s="1"/>
  <c r="X3" i="4"/>
  <c r="C32" i="6" s="1"/>
  <c r="W3" i="4"/>
  <c r="E22" i="6" s="1"/>
  <c r="D23" i="6" s="1"/>
  <c r="V3" i="4"/>
  <c r="E21" i="6" s="1"/>
  <c r="C23" i="6" s="1"/>
  <c r="U3" i="4"/>
  <c r="D21" i="6" s="1"/>
  <c r="C22" i="6" s="1"/>
  <c r="T3" i="4"/>
  <c r="E20" i="6" s="1"/>
  <c r="B23" i="6" s="1"/>
  <c r="S3" i="4"/>
  <c r="D20" i="6" s="1"/>
  <c r="B22" i="6" s="1"/>
  <c r="R3" i="4"/>
  <c r="C20" i="6" s="1"/>
  <c r="Q3" i="4"/>
  <c r="G10" i="6" s="1"/>
  <c r="F11" i="6" s="1"/>
  <c r="P3" i="4"/>
  <c r="G9" i="6" s="1"/>
  <c r="E11" i="6" s="1"/>
  <c r="O3" i="4"/>
  <c r="F9" i="6" s="1"/>
  <c r="E10" i="6" s="1"/>
  <c r="N3" i="4"/>
  <c r="G8" i="6" s="1"/>
  <c r="D11" i="6" s="1"/>
  <c r="M3" i="4"/>
  <c r="F8" i="6" s="1"/>
  <c r="D10" i="6" s="1"/>
  <c r="L3" i="4"/>
  <c r="E8" i="6" s="1"/>
  <c r="D9" i="6" s="1"/>
  <c r="K3" i="4"/>
  <c r="G7" i="6" s="1"/>
  <c r="C11" i="6" s="1"/>
  <c r="J3" i="4"/>
  <c r="F7" i="6" s="1"/>
  <c r="C10" i="6" s="1"/>
  <c r="I3" i="4"/>
  <c r="E7" i="6" s="1"/>
  <c r="C9" i="6" s="1"/>
  <c r="H3" i="4"/>
  <c r="D7" i="6" s="1"/>
  <c r="C8" i="6" s="1"/>
  <c r="G3" i="4"/>
  <c r="G6" i="6" s="1"/>
  <c r="B11" i="6" s="1"/>
  <c r="F3" i="4"/>
  <c r="F6" i="6" s="1"/>
  <c r="B10" i="6" s="1"/>
  <c r="E3" i="4"/>
  <c r="E6" i="6" s="1"/>
  <c r="B9" i="6" s="1"/>
  <c r="D3" i="4"/>
  <c r="D6" i="6" s="1"/>
  <c r="B8" i="6" s="1"/>
  <c r="C3" i="4"/>
  <c r="C6" i="6" s="1"/>
  <c r="B7" i="6" s="1"/>
  <c r="B3" i="4"/>
  <c r="BA2" i="4"/>
  <c r="E82" i="5" s="1"/>
  <c r="D83" i="5" s="1"/>
  <c r="AZ2" i="4"/>
  <c r="E81" i="5" s="1"/>
  <c r="C83" i="5" s="1"/>
  <c r="AY2" i="4"/>
  <c r="D81" i="5" s="1"/>
  <c r="AX2" i="4"/>
  <c r="E80" i="5" s="1"/>
  <c r="E80" i="8" s="1"/>
  <c r="B83" i="8" s="1"/>
  <c r="AW2" i="4"/>
  <c r="D80" i="5" s="1"/>
  <c r="AV2" i="4"/>
  <c r="C80" i="5" s="1"/>
  <c r="AU2" i="4"/>
  <c r="E70" i="5" s="1"/>
  <c r="AT2" i="4"/>
  <c r="E69" i="5" s="1"/>
  <c r="AS2" i="4"/>
  <c r="D69" i="5" s="1"/>
  <c r="AR2" i="4"/>
  <c r="E68" i="5" s="1"/>
  <c r="B71" i="5" s="1"/>
  <c r="AQ2" i="4"/>
  <c r="D68" i="5" s="1"/>
  <c r="AP2" i="4"/>
  <c r="C68" i="5" s="1"/>
  <c r="B69" i="5" s="1"/>
  <c r="AO2" i="4"/>
  <c r="E58" i="5" s="1"/>
  <c r="AN2" i="4"/>
  <c r="E57" i="5" s="1"/>
  <c r="AM2" i="4"/>
  <c r="D57" i="5" s="1"/>
  <c r="AL2" i="4"/>
  <c r="E56" i="5" s="1"/>
  <c r="AK2" i="4"/>
  <c r="D56" i="5" s="1"/>
  <c r="AJ2" i="4"/>
  <c r="C56" i="5" s="1"/>
  <c r="AI2" i="4"/>
  <c r="E46" i="5" s="1"/>
  <c r="AH2" i="4"/>
  <c r="E45" i="5" s="1"/>
  <c r="AG2" i="4"/>
  <c r="D45" i="5" s="1"/>
  <c r="C46" i="5" s="1"/>
  <c r="AF2" i="4"/>
  <c r="E44" i="5" s="1"/>
  <c r="AE2" i="4"/>
  <c r="D44" i="5" s="1"/>
  <c r="AD2" i="4"/>
  <c r="C44" i="5" s="1"/>
  <c r="B45" i="5" s="1"/>
  <c r="AC2" i="4"/>
  <c r="E34" i="5" s="1"/>
  <c r="E34" i="8" s="1"/>
  <c r="D35" i="8" s="1"/>
  <c r="AB2" i="4"/>
  <c r="E33" i="5" s="1"/>
  <c r="C35" i="5" s="1"/>
  <c r="AA2" i="4"/>
  <c r="D33" i="5" s="1"/>
  <c r="Z2" i="4"/>
  <c r="E32" i="5" s="1"/>
  <c r="Y2" i="4"/>
  <c r="D32" i="5" s="1"/>
  <c r="X2" i="4"/>
  <c r="C32" i="5" s="1"/>
  <c r="W2" i="4"/>
  <c r="E22" i="5" s="1"/>
  <c r="D23" i="5" s="1"/>
  <c r="V2" i="4"/>
  <c r="E21" i="5" s="1"/>
  <c r="U2" i="4"/>
  <c r="D21" i="5" s="1"/>
  <c r="C22" i="5" s="1"/>
  <c r="T2" i="4"/>
  <c r="E20" i="5" s="1"/>
  <c r="B23" i="5" s="1"/>
  <c r="S2" i="4"/>
  <c r="D20" i="5" s="1"/>
  <c r="R2" i="4"/>
  <c r="C20" i="5" s="1"/>
  <c r="Q2" i="4"/>
  <c r="G10" i="5" s="1"/>
  <c r="P2" i="4"/>
  <c r="G9" i="5" s="1"/>
  <c r="O2" i="4"/>
  <c r="F9" i="5" s="1"/>
  <c r="N2" i="4"/>
  <c r="G8" i="5" s="1"/>
  <c r="D11" i="5" s="1"/>
  <c r="M2" i="4"/>
  <c r="F8" i="5" s="1"/>
  <c r="L2" i="4"/>
  <c r="E8" i="5" s="1"/>
  <c r="K2" i="4"/>
  <c r="G7" i="5" s="1"/>
  <c r="C11" i="5" s="1"/>
  <c r="J2" i="4"/>
  <c r="F7" i="5" s="1"/>
  <c r="I2" i="4"/>
  <c r="E7" i="5" s="1"/>
  <c r="E7" i="8" s="1"/>
  <c r="C9" i="8" s="1"/>
  <c r="H2" i="4"/>
  <c r="D7" i="5" s="1"/>
  <c r="G2" i="4"/>
  <c r="G6" i="5" s="1"/>
  <c r="F2" i="4"/>
  <c r="F6" i="5" s="1"/>
  <c r="E2" i="4"/>
  <c r="E6" i="5" s="1"/>
  <c r="D2" i="4"/>
  <c r="D6" i="5" s="1"/>
  <c r="C2" i="4"/>
  <c r="C6" i="5" s="1"/>
  <c r="B7" i="5" s="1"/>
  <c r="B2" i="4"/>
  <c r="F20" i="6" l="1"/>
  <c r="F7" i="8"/>
  <c r="C10" i="8" s="1"/>
  <c r="F46" i="7"/>
  <c r="F83" i="7"/>
  <c r="F71" i="6"/>
  <c r="F35" i="6"/>
  <c r="F71" i="7"/>
  <c r="D7" i="8"/>
  <c r="C8" i="8" s="1"/>
  <c r="F70" i="7"/>
  <c r="C8" i="5"/>
  <c r="H7" i="6"/>
  <c r="F70" i="6"/>
  <c r="C44" i="8"/>
  <c r="H9" i="6"/>
  <c r="F34" i="6"/>
  <c r="H6" i="7"/>
  <c r="F80" i="5"/>
  <c r="F56" i="6"/>
  <c r="H9" i="7"/>
  <c r="F9" i="8"/>
  <c r="E10" i="8" s="1"/>
  <c r="E10" i="5"/>
  <c r="E11" i="5"/>
  <c r="G9" i="8"/>
  <c r="E11" i="8" s="1"/>
  <c r="D35" i="5"/>
  <c r="H6" i="6"/>
  <c r="B35" i="5"/>
  <c r="E32" i="8"/>
  <c r="B35" i="8" s="1"/>
  <c r="F32" i="6"/>
  <c r="B33" i="6"/>
  <c r="F33" i="6" s="1"/>
  <c r="F47" i="7"/>
  <c r="F68" i="7"/>
  <c r="B69" i="7"/>
  <c r="F69" i="7" s="1"/>
  <c r="E8" i="8"/>
  <c r="D9" i="8" s="1"/>
  <c r="D9" i="5"/>
  <c r="B45" i="8"/>
  <c r="E46" i="8"/>
  <c r="D47" i="8" s="1"/>
  <c r="D47" i="5"/>
  <c r="H8" i="6"/>
  <c r="B11" i="5"/>
  <c r="G6" i="8"/>
  <c r="B11" i="8" s="1"/>
  <c r="F11" i="5"/>
  <c r="G10" i="8"/>
  <c r="F11" i="8" s="1"/>
  <c r="B58" i="5"/>
  <c r="D56" i="8"/>
  <c r="B58" i="8" s="1"/>
  <c r="E70" i="8"/>
  <c r="D71" i="8" s="1"/>
  <c r="D71" i="5"/>
  <c r="B9" i="5"/>
  <c r="E6" i="8"/>
  <c r="B9" i="8" s="1"/>
  <c r="D32" i="8"/>
  <c r="B34" i="8" s="1"/>
  <c r="B34" i="5"/>
  <c r="C70" i="5"/>
  <c r="D69" i="8"/>
  <c r="C70" i="8" s="1"/>
  <c r="B47" i="5"/>
  <c r="E44" i="8"/>
  <c r="B47" i="8" s="1"/>
  <c r="D20" i="8"/>
  <c r="B22" i="8" s="1"/>
  <c r="B22" i="5"/>
  <c r="F22" i="5" s="1"/>
  <c r="E69" i="8"/>
  <c r="C71" i="8" s="1"/>
  <c r="C71" i="5"/>
  <c r="F6" i="8"/>
  <c r="B10" i="8" s="1"/>
  <c r="B10" i="5"/>
  <c r="G7" i="8"/>
  <c r="C11" i="8" s="1"/>
  <c r="D57" i="8"/>
  <c r="C58" i="8" s="1"/>
  <c r="C58" i="5"/>
  <c r="D6" i="8"/>
  <c r="B8" i="8" s="1"/>
  <c r="D44" i="8"/>
  <c r="B46" i="8" s="1"/>
  <c r="F44" i="5"/>
  <c r="B46" i="5"/>
  <c r="F46" i="5" s="1"/>
  <c r="F58" i="7"/>
  <c r="F83" i="6"/>
  <c r="F32" i="5"/>
  <c r="F47" i="6"/>
  <c r="F35" i="7"/>
  <c r="F56" i="5"/>
  <c r="B57" i="5"/>
  <c r="F57" i="5" s="1"/>
  <c r="C56" i="8"/>
  <c r="D80" i="8"/>
  <c r="B82" i="8" s="1"/>
  <c r="B82" i="5"/>
  <c r="E57" i="8"/>
  <c r="C59" i="8" s="1"/>
  <c r="C59" i="5"/>
  <c r="F59" i="6"/>
  <c r="H7" i="5"/>
  <c r="B83" i="5"/>
  <c r="F83" i="5" s="1"/>
  <c r="B45" i="6"/>
  <c r="F45" i="6" s="1"/>
  <c r="F44" i="6"/>
  <c r="F8" i="8"/>
  <c r="D10" i="8" s="1"/>
  <c r="D10" i="5"/>
  <c r="D68" i="8"/>
  <c r="B70" i="8" s="1"/>
  <c r="B70" i="5"/>
  <c r="F82" i="7"/>
  <c r="C34" i="5"/>
  <c r="D33" i="8"/>
  <c r="C34" i="8" s="1"/>
  <c r="F82" i="6"/>
  <c r="B21" i="5"/>
  <c r="F21" i="5" s="1"/>
  <c r="F20" i="5"/>
  <c r="E56" i="8"/>
  <c r="B59" i="8" s="1"/>
  <c r="B59" i="5"/>
  <c r="C80" i="8"/>
  <c r="B81" i="5"/>
  <c r="F81" i="5" s="1"/>
  <c r="H10" i="6"/>
  <c r="H11" i="6"/>
  <c r="B57" i="7"/>
  <c r="F57" i="7" s="1"/>
  <c r="F56" i="7"/>
  <c r="H11" i="7"/>
  <c r="F46" i="6"/>
  <c r="C20" i="8"/>
  <c r="E45" i="8"/>
  <c r="C47" i="8" s="1"/>
  <c r="C47" i="5"/>
  <c r="F68" i="6"/>
  <c r="B69" i="6"/>
  <c r="F69" i="6" s="1"/>
  <c r="B23" i="7"/>
  <c r="F23" i="7" s="1"/>
  <c r="E20" i="8"/>
  <c r="B23" i="8" s="1"/>
  <c r="F23" i="6"/>
  <c r="B57" i="6"/>
  <c r="F57" i="6" s="1"/>
  <c r="F59" i="7"/>
  <c r="E33" i="8"/>
  <c r="C35" i="8" s="1"/>
  <c r="H10" i="7"/>
  <c r="D45" i="8"/>
  <c r="C46" i="8" s="1"/>
  <c r="E82" i="8"/>
  <c r="D83" i="8" s="1"/>
  <c r="C9" i="5"/>
  <c r="B7" i="7"/>
  <c r="H7" i="7" s="1"/>
  <c r="F80" i="7"/>
  <c r="B81" i="7"/>
  <c r="F81" i="7" s="1"/>
  <c r="E22" i="8"/>
  <c r="D23" i="8" s="1"/>
  <c r="E68" i="8"/>
  <c r="B71" i="8" s="1"/>
  <c r="B8" i="5"/>
  <c r="B33" i="5"/>
  <c r="F33" i="5" s="1"/>
  <c r="F22" i="7"/>
  <c r="H6" i="5"/>
  <c r="E21" i="8"/>
  <c r="C23" i="8" s="1"/>
  <c r="B21" i="6"/>
  <c r="F21" i="6" s="1"/>
  <c r="F80" i="6"/>
  <c r="F32" i="7"/>
  <c r="F69" i="5"/>
  <c r="E81" i="8"/>
  <c r="C83" i="8" s="1"/>
  <c r="H8" i="7"/>
  <c r="F44" i="7"/>
  <c r="B45" i="7"/>
  <c r="F45" i="7" s="1"/>
  <c r="D21" i="8"/>
  <c r="C22" i="8" s="1"/>
  <c r="C32" i="8"/>
  <c r="D59" i="5"/>
  <c r="E58" i="8"/>
  <c r="D59" i="8" s="1"/>
  <c r="D81" i="8"/>
  <c r="C82" i="8" s="1"/>
  <c r="C82" i="5"/>
  <c r="C10" i="5"/>
  <c r="F20" i="7"/>
  <c r="F33" i="7"/>
  <c r="G8" i="8"/>
  <c r="D11" i="8" s="1"/>
  <c r="F22" i="6"/>
  <c r="F58" i="6"/>
  <c r="C23" i="5"/>
  <c r="F23" i="5" s="1"/>
  <c r="F21" i="7"/>
  <c r="C6" i="8"/>
  <c r="F45" i="5"/>
  <c r="C68" i="8"/>
  <c r="F68" i="5"/>
  <c r="F36" i="7" l="1"/>
  <c r="F24" i="6"/>
  <c r="F34" i="5"/>
  <c r="H8" i="5"/>
  <c r="F83" i="8"/>
  <c r="F47" i="8"/>
  <c r="F60" i="6"/>
  <c r="G59" i="6" s="1"/>
  <c r="F47" i="5"/>
  <c r="F35" i="5"/>
  <c r="F36" i="5" s="1"/>
  <c r="F72" i="7"/>
  <c r="G71" i="7" s="1"/>
  <c r="H10" i="8"/>
  <c r="F34" i="8"/>
  <c r="F60" i="7"/>
  <c r="G59" i="7" s="1"/>
  <c r="H59" i="7" s="1"/>
  <c r="I59" i="7" s="1"/>
  <c r="F84" i="6"/>
  <c r="G81" i="6" s="1"/>
  <c r="F72" i="6"/>
  <c r="G69" i="6" s="1"/>
  <c r="F70" i="5"/>
  <c r="F71" i="5"/>
  <c r="H12" i="7"/>
  <c r="I8" i="7" s="1"/>
  <c r="F82" i="5"/>
  <c r="F84" i="5" s="1"/>
  <c r="F35" i="8"/>
  <c r="G23" i="6"/>
  <c r="G20" i="6"/>
  <c r="G22" i="6"/>
  <c r="G21" i="6"/>
  <c r="H21" i="6" s="1"/>
  <c r="I21" i="6" s="1"/>
  <c r="G56" i="6"/>
  <c r="G58" i="6"/>
  <c r="G57" i="6"/>
  <c r="F44" i="8"/>
  <c r="H6" i="8"/>
  <c r="B7" i="8"/>
  <c r="H7" i="8" s="1"/>
  <c r="G34" i="7"/>
  <c r="G35" i="7"/>
  <c r="G32" i="7"/>
  <c r="G33" i="7"/>
  <c r="H8" i="8"/>
  <c r="F58" i="8"/>
  <c r="F45" i="8"/>
  <c r="H12" i="6"/>
  <c r="G56" i="7"/>
  <c r="G57" i="7"/>
  <c r="G58" i="7"/>
  <c r="F32" i="8"/>
  <c r="B33" i="8"/>
  <c r="F33" i="8" s="1"/>
  <c r="F58" i="5"/>
  <c r="F60" i="5" s="1"/>
  <c r="F84" i="7"/>
  <c r="F23" i="8"/>
  <c r="H10" i="5"/>
  <c r="G70" i="7"/>
  <c r="B81" i="8"/>
  <c r="F81" i="8" s="1"/>
  <c r="F80" i="8"/>
  <c r="F70" i="8"/>
  <c r="H11" i="8"/>
  <c r="F24" i="7"/>
  <c r="F59" i="5"/>
  <c r="H9" i="8"/>
  <c r="H11" i="5"/>
  <c r="F68" i="8"/>
  <c r="B69" i="8"/>
  <c r="F69" i="8" s="1"/>
  <c r="B21" i="8"/>
  <c r="F21" i="8" s="1"/>
  <c r="F20" i="8"/>
  <c r="F59" i="8"/>
  <c r="F82" i="8"/>
  <c r="F48" i="5"/>
  <c r="H9" i="5"/>
  <c r="F48" i="7"/>
  <c r="F71" i="8"/>
  <c r="F24" i="5"/>
  <c r="F48" i="6"/>
  <c r="F56" i="8"/>
  <c r="B57" i="8"/>
  <c r="F57" i="8" s="1"/>
  <c r="F46" i="8"/>
  <c r="F22" i="8"/>
  <c r="F36" i="6"/>
  <c r="G71" i="6" l="1"/>
  <c r="H57" i="6"/>
  <c r="I57" i="6" s="1"/>
  <c r="H59" i="6"/>
  <c r="I59" i="6" s="1"/>
  <c r="H58" i="6"/>
  <c r="I58" i="6" s="1"/>
  <c r="F72" i="5"/>
  <c r="G70" i="5" s="1"/>
  <c r="H22" i="6"/>
  <c r="I22" i="6" s="1"/>
  <c r="G70" i="6"/>
  <c r="H70" i="6" s="1"/>
  <c r="I70" i="6" s="1"/>
  <c r="G68" i="6"/>
  <c r="H23" i="6"/>
  <c r="I23" i="6" s="1"/>
  <c r="I6" i="7"/>
  <c r="I10" i="7"/>
  <c r="I11" i="7"/>
  <c r="G81" i="5"/>
  <c r="G83" i="5"/>
  <c r="G80" i="5"/>
  <c r="H35" i="7"/>
  <c r="I35" i="7" s="1"/>
  <c r="I7" i="7"/>
  <c r="G69" i="7"/>
  <c r="H69" i="7" s="1"/>
  <c r="I69" i="7" s="1"/>
  <c r="G68" i="7"/>
  <c r="I9" i="7"/>
  <c r="G82" i="5"/>
  <c r="H58" i="7"/>
  <c r="I58" i="7" s="1"/>
  <c r="H34" i="7"/>
  <c r="I34" i="7" s="1"/>
  <c r="H57" i="7"/>
  <c r="I57" i="7" s="1"/>
  <c r="G82" i="6"/>
  <c r="G80" i="6"/>
  <c r="H80" i="6" s="1"/>
  <c r="I80" i="6" s="1"/>
  <c r="F48" i="8"/>
  <c r="G47" i="8" s="1"/>
  <c r="H71" i="7"/>
  <c r="I71" i="7" s="1"/>
  <c r="H33" i="7"/>
  <c r="I33" i="7" s="1"/>
  <c r="G83" i="6"/>
  <c r="F24" i="8"/>
  <c r="G20" i="8" s="1"/>
  <c r="H12" i="5"/>
  <c r="I7" i="5" s="1"/>
  <c r="F36" i="8"/>
  <c r="G33" i="8" s="1"/>
  <c r="G56" i="5"/>
  <c r="G58" i="5"/>
  <c r="G59" i="5"/>
  <c r="G57" i="5"/>
  <c r="I10" i="5"/>
  <c r="G33" i="6"/>
  <c r="G32" i="6"/>
  <c r="G35" i="6"/>
  <c r="G34" i="6"/>
  <c r="H34" i="6" s="1"/>
  <c r="I34" i="6" s="1"/>
  <c r="G46" i="5"/>
  <c r="G47" i="5"/>
  <c r="H47" i="5" s="1"/>
  <c r="I47" i="5" s="1"/>
  <c r="G44" i="5"/>
  <c r="G45" i="5"/>
  <c r="G21" i="7"/>
  <c r="G22" i="7"/>
  <c r="G20" i="7"/>
  <c r="G23" i="7"/>
  <c r="G71" i="5"/>
  <c r="G68" i="5"/>
  <c r="G60" i="6"/>
  <c r="H56" i="6"/>
  <c r="I56" i="6" s="1"/>
  <c r="I60" i="6" s="1"/>
  <c r="I61" i="6" s="1"/>
  <c r="I63" i="6" s="1"/>
  <c r="C17" i="9" s="1"/>
  <c r="G32" i="8"/>
  <c r="G36" i="7"/>
  <c r="H32" i="7"/>
  <c r="I32" i="7" s="1"/>
  <c r="G22" i="8"/>
  <c r="F60" i="8"/>
  <c r="F84" i="8"/>
  <c r="H80" i="5"/>
  <c r="I80" i="5" s="1"/>
  <c r="G84" i="5"/>
  <c r="G44" i="6"/>
  <c r="G47" i="6"/>
  <c r="H47" i="6" s="1"/>
  <c r="I47" i="6" s="1"/>
  <c r="G46" i="6"/>
  <c r="G45" i="6"/>
  <c r="G33" i="5"/>
  <c r="G34" i="5"/>
  <c r="G32" i="5"/>
  <c r="G35" i="5"/>
  <c r="G72" i="6"/>
  <c r="G23" i="5"/>
  <c r="G21" i="5"/>
  <c r="H21" i="5" s="1"/>
  <c r="I21" i="5" s="1"/>
  <c r="G22" i="5"/>
  <c r="G20" i="5"/>
  <c r="F72" i="8"/>
  <c r="G60" i="7"/>
  <c r="H56" i="7"/>
  <c r="I56" i="7" s="1"/>
  <c r="H12" i="8"/>
  <c r="I10" i="6"/>
  <c r="I8" i="6"/>
  <c r="I9" i="6"/>
  <c r="I7" i="6"/>
  <c r="I6" i="6"/>
  <c r="I11" i="6"/>
  <c r="H20" i="6"/>
  <c r="I20" i="6" s="1"/>
  <c r="G24" i="6"/>
  <c r="G46" i="7"/>
  <c r="G47" i="7"/>
  <c r="G44" i="7"/>
  <c r="G45" i="7"/>
  <c r="H68" i="7"/>
  <c r="I68" i="7" s="1"/>
  <c r="G72" i="7"/>
  <c r="G81" i="7"/>
  <c r="G80" i="7"/>
  <c r="G82" i="7"/>
  <c r="G83" i="7"/>
  <c r="J7" i="6" l="1"/>
  <c r="K7" i="6" s="1"/>
  <c r="H69" i="6"/>
  <c r="I69" i="6" s="1"/>
  <c r="H46" i="6"/>
  <c r="I46" i="6" s="1"/>
  <c r="J9" i="6"/>
  <c r="K9" i="6" s="1"/>
  <c r="H68" i="6"/>
  <c r="I68" i="6" s="1"/>
  <c r="H82" i="6"/>
  <c r="I82" i="6" s="1"/>
  <c r="H81" i="6"/>
  <c r="I81" i="6" s="1"/>
  <c r="I84" i="6" s="1"/>
  <c r="I85" i="6" s="1"/>
  <c r="I87" i="6" s="1"/>
  <c r="C19" i="9" s="1"/>
  <c r="J8" i="6"/>
  <c r="K8" i="6" s="1"/>
  <c r="J10" i="6"/>
  <c r="K10" i="6" s="1"/>
  <c r="G69" i="5"/>
  <c r="H70" i="5" s="1"/>
  <c r="I70" i="5" s="1"/>
  <c r="H46" i="5"/>
  <c r="I46" i="5" s="1"/>
  <c r="H35" i="6"/>
  <c r="I35" i="6" s="1"/>
  <c r="I24" i="6"/>
  <c r="I25" i="6" s="1"/>
  <c r="I27" i="6" s="1"/>
  <c r="C14" i="9" s="1"/>
  <c r="H33" i="5"/>
  <c r="I33" i="5" s="1"/>
  <c r="G23" i="8"/>
  <c r="H83" i="6"/>
  <c r="I83" i="6" s="1"/>
  <c r="J11" i="6"/>
  <c r="K11" i="6" s="1"/>
  <c r="H45" i="6"/>
  <c r="I45" i="6" s="1"/>
  <c r="I36" i="7"/>
  <c r="I37" i="7" s="1"/>
  <c r="I39" i="7" s="1"/>
  <c r="D15" i="9" s="1"/>
  <c r="H33" i="6"/>
  <c r="I33" i="6" s="1"/>
  <c r="H70" i="7"/>
  <c r="I70" i="7" s="1"/>
  <c r="H71" i="6"/>
  <c r="I71" i="6" s="1"/>
  <c r="J9" i="7"/>
  <c r="K9" i="7" s="1"/>
  <c r="I12" i="7"/>
  <c r="J7" i="7"/>
  <c r="K7" i="7" s="1"/>
  <c r="J8" i="7"/>
  <c r="K8" i="7" s="1"/>
  <c r="J6" i="7"/>
  <c r="K6" i="7" s="1"/>
  <c r="H22" i="5"/>
  <c r="I22" i="5" s="1"/>
  <c r="H58" i="5"/>
  <c r="I58" i="5" s="1"/>
  <c r="H71" i="5"/>
  <c r="I71" i="5" s="1"/>
  <c r="I72" i="7"/>
  <c r="I73" i="7" s="1"/>
  <c r="I75" i="7" s="1"/>
  <c r="D18" i="9" s="1"/>
  <c r="H23" i="5"/>
  <c r="I23" i="5" s="1"/>
  <c r="H69" i="5"/>
  <c r="I69" i="5" s="1"/>
  <c r="H45" i="7"/>
  <c r="I45" i="7" s="1"/>
  <c r="J10" i="7"/>
  <c r="K10" i="7" s="1"/>
  <c r="I84" i="5"/>
  <c r="I85" i="5" s="1"/>
  <c r="I87" i="5" s="1"/>
  <c r="B19" i="9" s="1"/>
  <c r="H23" i="7"/>
  <c r="I23" i="7" s="1"/>
  <c r="J11" i="7"/>
  <c r="K11" i="7" s="1"/>
  <c r="H35" i="5"/>
  <c r="I35" i="5" s="1"/>
  <c r="I60" i="7"/>
  <c r="I61" i="7" s="1"/>
  <c r="I63" i="7" s="1"/>
  <c r="D17" i="9" s="1"/>
  <c r="G34" i="8"/>
  <c r="C94" i="8" s="1"/>
  <c r="H34" i="5"/>
  <c r="I34" i="5" s="1"/>
  <c r="G21" i="8"/>
  <c r="G24" i="8" s="1"/>
  <c r="G35" i="8"/>
  <c r="C95" i="8" s="1"/>
  <c r="I6" i="5"/>
  <c r="H83" i="5"/>
  <c r="I83" i="5" s="1"/>
  <c r="H45" i="5"/>
  <c r="I45" i="5" s="1"/>
  <c r="H57" i="5"/>
  <c r="I57" i="5" s="1"/>
  <c r="H59" i="5"/>
  <c r="I59" i="5" s="1"/>
  <c r="H82" i="5"/>
  <c r="I82" i="5" s="1"/>
  <c r="H81" i="5"/>
  <c r="I81" i="5" s="1"/>
  <c r="H83" i="7"/>
  <c r="I83" i="7" s="1"/>
  <c r="G44" i="8"/>
  <c r="D92" i="8" s="1"/>
  <c r="G45" i="8"/>
  <c r="H47" i="8" s="1"/>
  <c r="I47" i="8" s="1"/>
  <c r="H22" i="7"/>
  <c r="I22" i="7" s="1"/>
  <c r="H21" i="7"/>
  <c r="I21" i="7" s="1"/>
  <c r="H81" i="7"/>
  <c r="I81" i="7" s="1"/>
  <c r="G46" i="8"/>
  <c r="H46" i="8" s="1"/>
  <c r="I46" i="8" s="1"/>
  <c r="I9" i="5"/>
  <c r="I11" i="5"/>
  <c r="H47" i="7"/>
  <c r="I47" i="7" s="1"/>
  <c r="I8" i="5"/>
  <c r="G84" i="6"/>
  <c r="H46" i="7"/>
  <c r="I46" i="7" s="1"/>
  <c r="H82" i="7"/>
  <c r="I82" i="7" s="1"/>
  <c r="H33" i="8"/>
  <c r="I33" i="8" s="1"/>
  <c r="C93" i="8"/>
  <c r="I12" i="6"/>
  <c r="J6" i="6"/>
  <c r="K6" i="6" s="1"/>
  <c r="K12" i="6" s="1"/>
  <c r="K13" i="6" s="1"/>
  <c r="K15" i="6" s="1"/>
  <c r="C13" i="9" s="1"/>
  <c r="G69" i="8"/>
  <c r="G68" i="8"/>
  <c r="G71" i="8"/>
  <c r="G70" i="8"/>
  <c r="B94" i="8"/>
  <c r="H22" i="8"/>
  <c r="I22" i="8" s="1"/>
  <c r="H44" i="5"/>
  <c r="I44" i="5" s="1"/>
  <c r="G48" i="5"/>
  <c r="H20" i="5"/>
  <c r="I20" i="5" s="1"/>
  <c r="I24" i="5" s="1"/>
  <c r="I25" i="5" s="1"/>
  <c r="I27" i="5" s="1"/>
  <c r="B14" i="9" s="1"/>
  <c r="G24" i="5"/>
  <c r="H20" i="8"/>
  <c r="I20" i="8" s="1"/>
  <c r="B92" i="8"/>
  <c r="B95" i="8"/>
  <c r="H23" i="8"/>
  <c r="I23" i="8" s="1"/>
  <c r="G48" i="6"/>
  <c r="H44" i="6"/>
  <c r="I44" i="6" s="1"/>
  <c r="I48" i="6" s="1"/>
  <c r="I49" i="6" s="1"/>
  <c r="I51" i="6" s="1"/>
  <c r="C16" i="9" s="1"/>
  <c r="G72" i="5"/>
  <c r="H68" i="5"/>
  <c r="I68" i="5" s="1"/>
  <c r="G48" i="8"/>
  <c r="D95" i="8"/>
  <c r="G48" i="7"/>
  <c r="H44" i="7"/>
  <c r="I44" i="7" s="1"/>
  <c r="G84" i="7"/>
  <c r="H80" i="7"/>
  <c r="I80" i="7" s="1"/>
  <c r="I84" i="7" s="1"/>
  <c r="I85" i="7" s="1"/>
  <c r="I87" i="7" s="1"/>
  <c r="D19" i="9" s="1"/>
  <c r="H45" i="8"/>
  <c r="I45" i="8" s="1"/>
  <c r="I7" i="8"/>
  <c r="I11" i="8"/>
  <c r="I6" i="8"/>
  <c r="I8" i="8"/>
  <c r="I10" i="8"/>
  <c r="I9" i="8"/>
  <c r="G82" i="8"/>
  <c r="G83" i="8"/>
  <c r="G81" i="8"/>
  <c r="G80" i="8"/>
  <c r="C92" i="8"/>
  <c r="H32" i="8"/>
  <c r="I32" i="8" s="1"/>
  <c r="H32" i="6"/>
  <c r="I32" i="6" s="1"/>
  <c r="I36" i="6" s="1"/>
  <c r="I37" i="6" s="1"/>
  <c r="I39" i="6" s="1"/>
  <c r="C15" i="9" s="1"/>
  <c r="G36" i="6"/>
  <c r="H32" i="5"/>
  <c r="I32" i="5" s="1"/>
  <c r="G36" i="5"/>
  <c r="G59" i="8"/>
  <c r="G56" i="8"/>
  <c r="G58" i="8"/>
  <c r="G57" i="8"/>
  <c r="G24" i="7"/>
  <c r="H20" i="7"/>
  <c r="I20" i="7" s="1"/>
  <c r="G60" i="5"/>
  <c r="H56" i="5"/>
  <c r="I56" i="5" s="1"/>
  <c r="I72" i="5" l="1"/>
  <c r="I73" i="5" s="1"/>
  <c r="I75" i="5" s="1"/>
  <c r="B18" i="9" s="1"/>
  <c r="D93" i="8"/>
  <c r="I48" i="5"/>
  <c r="I49" i="5" s="1"/>
  <c r="I51" i="5" s="1"/>
  <c r="B16" i="9" s="1"/>
  <c r="I72" i="6"/>
  <c r="I73" i="6" s="1"/>
  <c r="I75" i="6" s="1"/>
  <c r="C18" i="9" s="1"/>
  <c r="I36" i="5"/>
  <c r="I37" i="5" s="1"/>
  <c r="I39" i="5" s="1"/>
  <c r="B15" i="9" s="1"/>
  <c r="I60" i="5"/>
  <c r="I61" i="5" s="1"/>
  <c r="I63" i="5" s="1"/>
  <c r="B17" i="9" s="1"/>
  <c r="H21" i="8"/>
  <c r="I21" i="8" s="1"/>
  <c r="K12" i="7"/>
  <c r="K13" i="7" s="1"/>
  <c r="K15" i="7" s="1"/>
  <c r="D13" i="9" s="1"/>
  <c r="J10" i="5"/>
  <c r="K10" i="5" s="1"/>
  <c r="H35" i="8"/>
  <c r="I35" i="8" s="1"/>
  <c r="J7" i="5"/>
  <c r="K7" i="5" s="1"/>
  <c r="J8" i="5"/>
  <c r="K8" i="5" s="1"/>
  <c r="B93" i="8"/>
  <c r="J11" i="5"/>
  <c r="K11" i="5" s="1"/>
  <c r="J6" i="5"/>
  <c r="K6" i="5" s="1"/>
  <c r="G36" i="8"/>
  <c r="J9" i="5"/>
  <c r="K9" i="5" s="1"/>
  <c r="H34" i="8"/>
  <c r="I34" i="8" s="1"/>
  <c r="I36" i="8" s="1"/>
  <c r="I37" i="8" s="1"/>
  <c r="I39" i="8" s="1"/>
  <c r="E15" i="9" s="1"/>
  <c r="F15" i="9" s="1"/>
  <c r="H44" i="8"/>
  <c r="I44" i="8" s="1"/>
  <c r="I48" i="8" s="1"/>
  <c r="I49" i="8" s="1"/>
  <c r="I51" i="8" s="1"/>
  <c r="E16" i="9" s="1"/>
  <c r="F16" i="9" s="1"/>
  <c r="I48" i="7"/>
  <c r="I49" i="7" s="1"/>
  <c r="I51" i="7" s="1"/>
  <c r="D16" i="9" s="1"/>
  <c r="D94" i="8"/>
  <c r="I24" i="7"/>
  <c r="I25" i="7" s="1"/>
  <c r="I27" i="7" s="1"/>
  <c r="D14" i="9" s="1"/>
  <c r="I12" i="5"/>
  <c r="E95" i="8"/>
  <c r="H59" i="8"/>
  <c r="I59" i="8" s="1"/>
  <c r="H83" i="8"/>
  <c r="I83" i="8" s="1"/>
  <c r="G95" i="8"/>
  <c r="G94" i="8"/>
  <c r="H82" i="8"/>
  <c r="I82" i="8" s="1"/>
  <c r="C8" i="9"/>
  <c r="J10" i="8"/>
  <c r="K10" i="8" s="1"/>
  <c r="J8" i="8"/>
  <c r="K8" i="8" s="1"/>
  <c r="C6" i="9"/>
  <c r="C5" i="9"/>
  <c r="J7" i="8"/>
  <c r="K7" i="8" s="1"/>
  <c r="C7" i="9"/>
  <c r="J9" i="8"/>
  <c r="K9" i="8" s="1"/>
  <c r="J6" i="8"/>
  <c r="K6" i="8" s="1"/>
  <c r="C4" i="9"/>
  <c r="I12" i="8"/>
  <c r="H70" i="8"/>
  <c r="I70" i="8" s="1"/>
  <c r="F94" i="8"/>
  <c r="J11" i="8"/>
  <c r="K11" i="8" s="1"/>
  <c r="C9" i="9"/>
  <c r="F95" i="8"/>
  <c r="H71" i="8"/>
  <c r="I71" i="8" s="1"/>
  <c r="E93" i="8"/>
  <c r="H57" i="8"/>
  <c r="I57" i="8" s="1"/>
  <c r="I24" i="8"/>
  <c r="I25" i="8" s="1"/>
  <c r="I27" i="8" s="1"/>
  <c r="E14" i="9" s="1"/>
  <c r="F93" i="8"/>
  <c r="H69" i="8"/>
  <c r="I69" i="8" s="1"/>
  <c r="F92" i="8"/>
  <c r="G72" i="8"/>
  <c r="H68" i="8"/>
  <c r="I68" i="8" s="1"/>
  <c r="E94" i="8"/>
  <c r="H58" i="8"/>
  <c r="I58" i="8" s="1"/>
  <c r="H80" i="8"/>
  <c r="I80" i="8" s="1"/>
  <c r="G92" i="8"/>
  <c r="G84" i="8"/>
  <c r="E92" i="8"/>
  <c r="H56" i="8"/>
  <c r="I56" i="8" s="1"/>
  <c r="G60" i="8"/>
  <c r="G93" i="8"/>
  <c r="H81" i="8"/>
  <c r="I81" i="8" s="1"/>
  <c r="H94" i="8" l="1"/>
  <c r="F6" i="9" s="1"/>
  <c r="K12" i="5"/>
  <c r="K13" i="5" s="1"/>
  <c r="K15" i="5" s="1"/>
  <c r="B13" i="9" s="1"/>
  <c r="H95" i="8"/>
  <c r="F14" i="9"/>
  <c r="H92" i="8"/>
  <c r="I94" i="8" s="1"/>
  <c r="G6" i="9" s="1"/>
  <c r="H6" i="9" s="1"/>
  <c r="H93" i="8"/>
  <c r="I93" i="8" s="1"/>
  <c r="G5" i="9" s="1"/>
  <c r="H5" i="9" s="1"/>
  <c r="I60" i="8"/>
  <c r="I61" i="8" s="1"/>
  <c r="I63" i="8" s="1"/>
  <c r="E17" i="9" s="1"/>
  <c r="F17" i="9" s="1"/>
  <c r="I84" i="8"/>
  <c r="I85" i="8" s="1"/>
  <c r="I87" i="8" s="1"/>
  <c r="E19" i="9" s="1"/>
  <c r="F19" i="9" s="1"/>
  <c r="F4" i="9"/>
  <c r="K12" i="8"/>
  <c r="K13" i="8" s="1"/>
  <c r="K15" i="8" s="1"/>
  <c r="E13" i="9" s="1"/>
  <c r="F13" i="9" s="1"/>
  <c r="I72" i="8"/>
  <c r="I73" i="8" s="1"/>
  <c r="I75" i="8" s="1"/>
  <c r="E18" i="9" s="1"/>
  <c r="F18" i="9" s="1"/>
  <c r="I92" i="8" l="1"/>
  <c r="G4" i="9" s="1"/>
  <c r="H4" i="9" s="1"/>
  <c r="I95" i="8"/>
  <c r="G7" i="9" s="1"/>
  <c r="H7" i="9" s="1"/>
  <c r="F7" i="9"/>
  <c r="F5" i="9"/>
</calcChain>
</file>

<file path=xl/sharedStrings.xml><?xml version="1.0" encoding="utf-8"?>
<sst xmlns="http://schemas.openxmlformats.org/spreadsheetml/2006/main" count="877" uniqueCount="199">
  <si>
    <t>Принятое правило</t>
  </si>
  <si>
    <t>Описание</t>
  </si>
  <si>
    <t>Метод</t>
  </si>
  <si>
    <t>Чёткий коллективный МАИ (обычные числовые матрицы Саати).</t>
  </si>
  <si>
    <t>Шкала</t>
  </si>
  <si>
    <t>Основные вербальные градации: 9, 7, 5, 3, 1 и обратные 1/3, 1/5, 1/7, 1/9.</t>
  </si>
  <si>
    <t>Агрегирование экспертов</t>
  </si>
  <si>
    <t>Геометрическое среднее одинаковых парных суждений трёх экспертов.</t>
  </si>
  <si>
    <t>Веса</t>
  </si>
  <si>
    <t>Нормированное геометрическое среднее строк матрицы.</t>
  </si>
  <si>
    <t>Шкала Саати и случайный индекс RI</t>
  </si>
  <si>
    <t>Ответ формы</t>
  </si>
  <si>
    <t>Число Саати</t>
  </si>
  <si>
    <t>n</t>
  </si>
  <si>
    <t>RI</t>
  </si>
  <si>
    <t>Первый вариант — крайне предпочтительнее</t>
  </si>
  <si>
    <t>Первый вариант — очень сильно предпочтительнее</t>
  </si>
  <si>
    <t>Первый вариант — сильно предпочтительнее</t>
  </si>
  <si>
    <t>Первый вариант — умеренно предпочтительнее</t>
  </si>
  <si>
    <t>Равнозначны</t>
  </si>
  <si>
    <t>Второй вариант — умеренно предпочтительнее</t>
  </si>
  <si>
    <t>Второй вариант — сильно предпочтительнее</t>
  </si>
  <si>
    <t>Второй вариант — очень сильно предпочтительнее</t>
  </si>
  <si>
    <t>Второй вариант — крайне предпочтительнее</t>
  </si>
  <si>
    <t>Отметка времени</t>
  </si>
  <si>
    <t>ВАШЕ ИМЯ</t>
  </si>
  <si>
    <t>C1 Актуальность и острота проблемы  ↔  C2 Влияние на продуктивность труда</t>
  </si>
  <si>
    <t>C1 Актуальность и острота проблемы  ↔  C3 Влияние на качество условий труда</t>
  </si>
  <si>
    <t>C1 Актуальность и острота проблемы  ↔  C4 Экономическая выгода для предприятия</t>
  </si>
  <si>
    <t>C1 Актуальность и острота проблемы  ↔  C5 Техническая сложность реализации</t>
  </si>
  <si>
    <t>C1 Актуальность и острота проблемы  ↔  C6 Ресурсоёмкость разработки (стоимость и сроки)</t>
  </si>
  <si>
    <t>C2 Влияние на продуктивность труда  ↔  C3 Влияние на качество условий труда</t>
  </si>
  <si>
    <t>C2 Влияние на продуктивность труда  ↔  C4 Экономическая выгода для предприятия</t>
  </si>
  <si>
    <t>C2 Влияние на продуктивность труда  ↔  C5 Техническая сложность реализации</t>
  </si>
  <si>
    <t>C2 Влияние на продуктивность труда  ↔  C6 Ресурсоёмкость разработки (стоимость и сроки)</t>
  </si>
  <si>
    <t>C3 Влияние на качество условий труда  ↔  C4 Экономическая выгода для предприятия</t>
  </si>
  <si>
    <t>C3 Влияние на качество условий труда  ↔  C5 Техническая сложность реализации</t>
  </si>
  <si>
    <t>C3 Влияние на качество условий труда  ↔  C6 Ресурсоёмкость разработки (стоимость и сроки)</t>
  </si>
  <si>
    <t>C4 Экономическая выгода для предприятия  ↔  C5 Техническая сложность реализации</t>
  </si>
  <si>
    <t>C4 Экономическая выгода для предприятия  ↔  C6 Ресурсоёмкость разработки (стоимость и сроки)</t>
  </si>
  <si>
    <t>C5 Техническая сложность реализации  ↔  C6 Ресурсоёмкость разработки (стоимость и сроки)</t>
  </si>
  <si>
    <t>A1 Ассистент продуктивности  ↔  A2 Внутренние заявки</t>
  </si>
  <si>
    <t>A1 Ассистент продуктивности  ↔  A3 Обучение и адаптация</t>
  </si>
  <si>
    <t>A1 Ассистент продуктивности  ↔  A4 Графики смен</t>
  </si>
  <si>
    <t>A2 Внутренние заявки  ↔  A3 Обучение и адаптация</t>
  </si>
  <si>
    <t>A2 Внутренние заявки  ↔  A4 Графики смен</t>
  </si>
  <si>
    <t>A3 Обучение и адаптация  ↔  A4 Графики смен</t>
  </si>
  <si>
    <t>Эксперт</t>
  </si>
  <si>
    <t>K_C1_C2</t>
  </si>
  <si>
    <t>K_C1_C3</t>
  </si>
  <si>
    <t>K_C1_C4</t>
  </si>
  <si>
    <t>K_C1_C5</t>
  </si>
  <si>
    <t>K_C1_C6</t>
  </si>
  <si>
    <t>K_C2_C3</t>
  </si>
  <si>
    <t>K_C2_C4</t>
  </si>
  <si>
    <t>K_C2_C5</t>
  </si>
  <si>
    <t>K_C2_C6</t>
  </si>
  <si>
    <t>K_C3_C4</t>
  </si>
  <si>
    <t>K_C3_C5</t>
  </si>
  <si>
    <t>K_C3_C6</t>
  </si>
  <si>
    <t>K_C4_C5</t>
  </si>
  <si>
    <t>K_C4_C6</t>
  </si>
  <si>
    <t>K_C5_C6</t>
  </si>
  <si>
    <t>C1_A1_A2</t>
  </si>
  <si>
    <t>C1_A1_A3</t>
  </si>
  <si>
    <t>C1_A1_A4</t>
  </si>
  <si>
    <t>C1_A2_A3</t>
  </si>
  <si>
    <t>C1_A2_A4</t>
  </si>
  <si>
    <t>C1_A3_A4</t>
  </si>
  <si>
    <t>C2_A1_A2</t>
  </si>
  <si>
    <t>C2_A1_A3</t>
  </si>
  <si>
    <t>C2_A1_A4</t>
  </si>
  <si>
    <t>C2_A2_A3</t>
  </si>
  <si>
    <t>C2_A2_A4</t>
  </si>
  <si>
    <t>C2_A3_A4</t>
  </si>
  <si>
    <t>C3_A1_A2</t>
  </si>
  <si>
    <t>C3_A1_A3</t>
  </si>
  <si>
    <t>C3_A1_A4</t>
  </si>
  <si>
    <t>C3_A2_A3</t>
  </si>
  <si>
    <t>C3_A2_A4</t>
  </si>
  <si>
    <t>C3_A3_A4</t>
  </si>
  <si>
    <t>C4_A1_A2</t>
  </si>
  <si>
    <t>C4_A1_A3</t>
  </si>
  <si>
    <t>C4_A1_A4</t>
  </si>
  <si>
    <t>C4_A2_A3</t>
  </si>
  <si>
    <t>C4_A2_A4</t>
  </si>
  <si>
    <t>C4_A3_A4</t>
  </si>
  <si>
    <t>C5_A1_A2</t>
  </si>
  <si>
    <t>C5_A1_A3</t>
  </si>
  <si>
    <t>C5_A1_A4</t>
  </si>
  <si>
    <t>C5_A2_A3</t>
  </si>
  <si>
    <t>C5_A2_A4</t>
  </si>
  <si>
    <t>C5_A3_A4</t>
  </si>
  <si>
    <t>C6_A1_A2</t>
  </si>
  <si>
    <t>C6_A1_A3</t>
  </si>
  <si>
    <t>C6_A1_A4</t>
  </si>
  <si>
    <t>C6_A2_A3</t>
  </si>
  <si>
    <t>C6_A2_A4</t>
  </si>
  <si>
    <t>C6_A3_A4</t>
  </si>
  <si>
    <t>Недикова</t>
  </si>
  <si>
    <t>Символокова</t>
  </si>
  <si>
    <t>Бредихин</t>
  </si>
  <si>
    <t>Индивидуальный МАИ — Недикова</t>
  </si>
  <si>
    <t>Все матрицы строятся из ответов формы. Нижний треугольник рассчитывается как обратные значения; веса — нормированное геометрическое среднее строк.</t>
  </si>
  <si>
    <t>Матрица важности критериев</t>
  </si>
  <si>
    <t>C1</t>
  </si>
  <si>
    <t>C2</t>
  </si>
  <si>
    <t>C3</t>
  </si>
  <si>
    <t>C4</t>
  </si>
  <si>
    <t>C5</t>
  </si>
  <si>
    <t>C6</t>
  </si>
  <si>
    <t>Геом. ср.</t>
  </si>
  <si>
    <t>Вес</t>
  </si>
  <si>
    <t>A·w</t>
  </si>
  <si>
    <t>λ_i</t>
  </si>
  <si>
    <t>λmax</t>
  </si>
  <si>
    <t>CI</t>
  </si>
  <si>
    <t>CR</t>
  </si>
  <si>
    <t>C1: Актуальность и острота проблемы</t>
  </si>
  <si>
    <t>A1</t>
  </si>
  <si>
    <t>A2</t>
  </si>
  <si>
    <t>A3</t>
  </si>
  <si>
    <t>A4</t>
  </si>
  <si>
    <t>C2: Влияние на продуктивность труда</t>
  </si>
  <si>
    <t>C3: Влияние на качество условий труда</t>
  </si>
  <si>
    <t>C4: Экономическая выгода для предприятия</t>
  </si>
  <si>
    <t>C5: Техническая сложность реализации</t>
  </si>
  <si>
    <t>C6: Ресурсоёмкость разработки (стоимость и сроки)</t>
  </si>
  <si>
    <t>Индивидуальный МАИ — Символокова</t>
  </si>
  <si>
    <t>Индивидуальный МАИ — Бредихин</t>
  </si>
  <si>
    <t>Коллективный МАИ — агрегирование трёх экспертов</t>
  </si>
  <si>
    <t>Каждое одинаковое парное суждение трёх экспертов агрегируется геометрическим средним. Затем из коллективных матриц рассчитываются веса и CR.</t>
  </si>
  <si>
    <t>Коллективная матрица важности критериев</t>
  </si>
  <si>
    <t>Коллективная матрица альтернатив по C1: Актуальность и острота проблемы</t>
  </si>
  <si>
    <t>Коллективная матрица альтернатив по C2: Влияние на продуктивность труда</t>
  </si>
  <si>
    <t>Коллективная матрица альтернатив по C3: Влияние на качество условий труда</t>
  </si>
  <si>
    <t>Коллективная матрица альтернатив по C4: Экономическая выгода для предприятия</t>
  </si>
  <si>
    <t>Коллективная матрица альтернатив по C5: Техническая сложность реализации</t>
  </si>
  <si>
    <t>Коллективная матрица альтернатив по C6: Ресурсоёмкость разработки (стоимость и сроки)</t>
  </si>
  <si>
    <t>Итоговый синтез приоритетов</t>
  </si>
  <si>
    <t>Концепция</t>
  </si>
  <si>
    <t>Глобальный приоритет</t>
  </si>
  <si>
    <t>Место</t>
  </si>
  <si>
    <t>A1 — Корпоративный ассистент продуктивности и благополучия</t>
  </si>
  <si>
    <t>A2 — Система автоматизации внутренних заявок и сервисных запросов</t>
  </si>
  <si>
    <t>A3 — Корпоративный портал обучения и адаптации сотрудников</t>
  </si>
  <si>
    <t>A4 — Система оптимизации графика смен и загрузки персонала</t>
  </si>
  <si>
    <t>Итоги коллективного МАИ</t>
  </si>
  <si>
    <t>Код</t>
  </si>
  <si>
    <t>Критерий</t>
  </si>
  <si>
    <t>Коллективный вес</t>
  </si>
  <si>
    <t>Статус</t>
  </si>
  <si>
    <t>Актуальность и острота проблемы</t>
  </si>
  <si>
    <t>Влияние на продуктивность труда</t>
  </si>
  <si>
    <t>Влияние на качество условий труда</t>
  </si>
  <si>
    <t>Экономическая выгода для предприятия</t>
  </si>
  <si>
    <t>Техническая сложность реализации</t>
  </si>
  <si>
    <t>Ресурсоёмкость разработки (стоимость и сроки)</t>
  </si>
  <si>
    <t>Матрица</t>
  </si>
  <si>
    <t>Коллективная</t>
  </si>
  <si>
    <t>Интерпретация</t>
  </si>
  <si>
    <t>Критерии</t>
  </si>
  <si>
    <t>Формулы и методика расчёта</t>
  </si>
  <si>
    <t>Этап</t>
  </si>
  <si>
    <t>Формула / правило</t>
  </si>
  <si>
    <t>1. Кодирование ответа</t>
  </si>
  <si>
    <t>Вербальная оценка → число Саати</t>
  </si>
  <si>
    <t>2. Обратная ячейка</t>
  </si>
  <si>
    <t>a_ji = 1 / a_ij</t>
  </si>
  <si>
    <t>3. Геом. среднее строки</t>
  </si>
  <si>
    <t>g_i = (Π_j a_ij)^(1/n)</t>
  </si>
  <si>
    <t>4. Нормирование</t>
  </si>
  <si>
    <t>w_i = g_i / Σ g_i</t>
  </si>
  <si>
    <t>5. Проверка λmax</t>
  </si>
  <si>
    <t>λ_i = (A·w)_i / w_i; λmax = average(λ_i)</t>
  </si>
  <si>
    <t>6. Индекс согласованности</t>
  </si>
  <si>
    <t>CI = (λmax - n)/(n - 1)</t>
  </si>
  <si>
    <t>7. Отношение согласованности</t>
  </si>
  <si>
    <t>CR = CI / RI</t>
  </si>
  <si>
    <t>8. Коллективное суждение</t>
  </si>
  <si>
    <t>a_ij(group) = (a_ij(1)·a_ij(2)·a_ij(3))^(1/3)</t>
  </si>
  <si>
    <t>9. Глобальный приоритет</t>
  </si>
  <si>
    <t>P(A_i) = Σ_j w_j·p_ij</t>
  </si>
  <si>
    <t>Методическое решение</t>
  </si>
  <si>
    <t>Что принято</t>
  </si>
  <si>
    <t>Почему</t>
  </si>
  <si>
    <t>Тип МАИ</t>
  </si>
  <si>
    <t>Чёткий коллективный МАИ</t>
  </si>
  <si>
    <t>В задании указан чёткий коллективный МАИ; нечёткие треугольные оценки не используются.</t>
  </si>
  <si>
    <t>Эксперты</t>
  </si>
  <si>
    <t>3 равноправных эксперта</t>
  </si>
  <si>
    <t>Недикова, Символокова, Бредихин.</t>
  </si>
  <si>
    <t>Агрегирование</t>
  </si>
  <si>
    <t>Геометрическое среднее суждений</t>
  </si>
  <si>
    <t>Шкала формы</t>
  </si>
  <si>
    <t>9 вербальных категорий финальной формы: «Первый вариант… / Равнозначны / Второй вариант…»</t>
  </si>
  <si>
    <t>Используются 1, 3, 5, 7, 9 и обратные значения; 2, 4, 6, 8 не предлагаются, чтобы не перегружать опрос.</t>
  </si>
  <si>
    <t>Коллективный МАИ</t>
  </si>
  <si>
    <t>Выбран стандартный для взаимно-обратных парных сравнений способ.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</si>
</sst>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name val="Carlito"/>
    </font>
    <font>
      <sz val="11"/>
      <name val="Carlito"/>
    </font>
    <font>
      <b/>
      <sz val="14"/>
      <color rgb="FFFFFFFF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sz val="10"/>
      <color rgb="FF434343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4" fillId="0" borderId="0" xfId="1" applyFont="1" applyAlignment="1">
      <alignment wrapText="1"/>
    </xf>
    <xf numFmtId="0" fontId="4" fillId="0" borderId="0" xfId="1" applyFont="1" applyAlignment="1">
      <alignment vertical="center" wrapText="1"/>
    </xf>
    <xf numFmtId="0" fontId="3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4" fillId="0" borderId="0" xfId="0" applyFont="1"/>
    <xf numFmtId="164" fontId="4" fillId="0" borderId="0" xfId="1" applyNumberFormat="1" applyFont="1" applyAlignment="1">
      <alignment vertical="center" wrapText="1"/>
    </xf>
    <xf numFmtId="2" fontId="4" fillId="0" borderId="0" xfId="1" applyNumberFormat="1" applyFont="1" applyAlignment="1">
      <alignment vertical="center" wrapText="1"/>
    </xf>
    <xf numFmtId="0" fontId="5" fillId="2" borderId="0" xfId="1" applyFont="1" applyFill="1" applyAlignment="1">
      <alignment horizontal="center" vertical="center"/>
    </xf>
    <xf numFmtId="22" fontId="6" fillId="0" borderId="0" xfId="0" applyNumberFormat="1" applyFont="1"/>
    <xf numFmtId="0" fontId="6" fillId="0" borderId="0" xfId="0" applyFont="1"/>
    <xf numFmtId="0" fontId="7" fillId="0" borderId="0" xfId="0" applyFont="1"/>
    <xf numFmtId="0" fontId="4" fillId="3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164" fontId="4" fillId="0" borderId="0" xfId="1" applyNumberFormat="1" applyFont="1" applyAlignment="1">
      <alignment wrapText="1"/>
    </xf>
    <xf numFmtId="164" fontId="3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wrapText="1"/>
    </xf>
    <xf numFmtId="164" fontId="4" fillId="0" borderId="0" xfId="1" applyNumberFormat="1" applyFont="1"/>
    <xf numFmtId="164" fontId="3" fillId="2" borderId="0" xfId="1" applyNumberFormat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</cellXfs>
  <cellStyles count="2">
    <cellStyle name="Обычный" xfId="0" builtinId="0"/>
    <cellStyle name="Normal" xfId="1" xr:uid="{00000000-0005-0000-0000-000000000000}"/>
  </cellStyles>
  <dxfs count="58"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43" workbookViewId="0">
      <pane ySplit="1" topLeftCell="A2" activePane="bottomLeft" state="frozen"/>
      <selection pane="bottomLeft" activeCell="B30" sqref="B30"/>
    </sheetView>
  </sheetViews>
  <sheetFormatPr baseColWidth="10" defaultColWidth="8.83203125" defaultRowHeight="15"/>
  <cols>
    <col min="1" max="1" width="18" customWidth="1"/>
    <col min="2" max="2" width="80" customWidth="1"/>
  </cols>
  <sheetData>
    <row r="1" spans="1:2" ht="18" customHeight="1">
      <c r="A1" s="6" t="s">
        <v>197</v>
      </c>
      <c r="B1" s="6"/>
    </row>
    <row r="2" spans="1:2">
      <c r="A2" s="7" t="s">
        <v>0</v>
      </c>
      <c r="B2" s="7" t="s">
        <v>1</v>
      </c>
    </row>
    <row r="3" spans="1:2">
      <c r="A3" s="4" t="s">
        <v>2</v>
      </c>
      <c r="B3" s="4" t="s">
        <v>3</v>
      </c>
    </row>
    <row r="4" spans="1:2">
      <c r="A4" s="4" t="s">
        <v>4</v>
      </c>
      <c r="B4" s="4" t="s">
        <v>5</v>
      </c>
    </row>
    <row r="5" spans="1:2" ht="30">
      <c r="A5" s="4" t="s">
        <v>6</v>
      </c>
      <c r="B5" s="4" t="s">
        <v>7</v>
      </c>
    </row>
    <row r="6" spans="1:2">
      <c r="A6" s="4" t="s">
        <v>8</v>
      </c>
      <c r="B6" s="4" t="s">
        <v>9</v>
      </c>
    </row>
    <row r="7" spans="1:2">
      <c r="A7" s="1"/>
      <c r="B7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57" zoomScaleNormal="100" workbookViewId="0">
      <selection activeCell="D8" sqref="D8"/>
    </sheetView>
  </sheetViews>
  <sheetFormatPr baseColWidth="10" defaultColWidth="8.83203125" defaultRowHeight="14"/>
  <cols>
    <col min="1" max="1" width="42" style="8" customWidth="1"/>
    <col min="2" max="2" width="16" style="8" customWidth="1"/>
    <col min="3" max="3" width="8.83203125" style="8"/>
    <col min="4" max="5" width="12" style="8" customWidth="1"/>
    <col min="6" max="16384" width="8.83203125" style="8"/>
  </cols>
  <sheetData>
    <row r="1" spans="1:5" ht="18">
      <c r="A1" s="11" t="s">
        <v>10</v>
      </c>
      <c r="B1" s="11"/>
      <c r="C1" s="11"/>
      <c r="D1" s="11"/>
      <c r="E1" s="11"/>
    </row>
    <row r="3" spans="1:5" ht="15">
      <c r="A3" s="7" t="s">
        <v>11</v>
      </c>
      <c r="B3" s="7" t="s">
        <v>12</v>
      </c>
      <c r="D3" s="7" t="s">
        <v>13</v>
      </c>
      <c r="E3" s="7" t="s">
        <v>14</v>
      </c>
    </row>
    <row r="4" spans="1:5" ht="15">
      <c r="A4" s="4" t="s">
        <v>15</v>
      </c>
      <c r="B4" s="9">
        <v>9</v>
      </c>
      <c r="D4" s="4">
        <v>1</v>
      </c>
      <c r="E4" s="10">
        <v>0</v>
      </c>
    </row>
    <row r="5" spans="1:5" ht="30">
      <c r="A5" s="4" t="s">
        <v>16</v>
      </c>
      <c r="B5" s="9">
        <v>7</v>
      </c>
      <c r="D5" s="4">
        <v>2</v>
      </c>
      <c r="E5" s="10">
        <v>0</v>
      </c>
    </row>
    <row r="6" spans="1:5" ht="15">
      <c r="A6" s="4" t="s">
        <v>17</v>
      </c>
      <c r="B6" s="9">
        <v>5</v>
      </c>
      <c r="D6" s="4">
        <v>3</v>
      </c>
      <c r="E6" s="10">
        <v>0.57999999999999996</v>
      </c>
    </row>
    <row r="7" spans="1:5" ht="15">
      <c r="A7" s="4" t="s">
        <v>18</v>
      </c>
      <c r="B7" s="9">
        <v>3</v>
      </c>
      <c r="D7" s="4">
        <v>4</v>
      </c>
      <c r="E7" s="10">
        <v>0.9</v>
      </c>
    </row>
    <row r="8" spans="1:5" ht="15">
      <c r="A8" s="4" t="s">
        <v>19</v>
      </c>
      <c r="B8" s="9">
        <v>1</v>
      </c>
      <c r="D8" s="4">
        <v>5</v>
      </c>
      <c r="E8" s="10">
        <v>1.1200000000000001</v>
      </c>
    </row>
    <row r="9" spans="1:5" ht="15">
      <c r="A9" s="4" t="s">
        <v>20</v>
      </c>
      <c r="B9" s="9">
        <v>0.33333333333333331</v>
      </c>
      <c r="D9" s="4">
        <v>6</v>
      </c>
      <c r="E9" s="10">
        <v>1.24</v>
      </c>
    </row>
    <row r="10" spans="1:5" ht="15">
      <c r="A10" s="4" t="s">
        <v>21</v>
      </c>
      <c r="B10" s="9">
        <v>0.2</v>
      </c>
      <c r="D10" s="4">
        <v>7</v>
      </c>
      <c r="E10" s="10">
        <v>1.32</v>
      </c>
    </row>
    <row r="11" spans="1:5" ht="30">
      <c r="A11" s="4" t="s">
        <v>22</v>
      </c>
      <c r="B11" s="9">
        <v>0.14285714285714285</v>
      </c>
      <c r="D11" s="4">
        <v>8</v>
      </c>
      <c r="E11" s="10">
        <v>1.41</v>
      </c>
    </row>
    <row r="12" spans="1:5" ht="15">
      <c r="A12" s="4" t="s">
        <v>23</v>
      </c>
      <c r="B12" s="9">
        <v>0.1111111111111111</v>
      </c>
      <c r="D12" s="4">
        <v>9</v>
      </c>
      <c r="E12" s="10">
        <v>1.45</v>
      </c>
    </row>
    <row r="13" spans="1:5">
      <c r="D13" s="4">
        <v>10</v>
      </c>
      <c r="E13" s="10">
        <v>1.49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0"/>
  <sheetViews>
    <sheetView workbookViewId="0">
      <pane xSplit="2" ySplit="1" topLeftCell="J2" activePane="bottomRight" state="frozen"/>
      <selection pane="topRight"/>
      <selection pane="bottomLeft"/>
      <selection pane="bottomRight" activeCell="AW3" sqref="A1:BA4"/>
    </sheetView>
  </sheetViews>
  <sheetFormatPr baseColWidth="10" defaultColWidth="8.83203125" defaultRowHeight="15"/>
  <cols>
    <col min="1" max="1" width="20" customWidth="1"/>
    <col min="2" max="2" width="18" customWidth="1"/>
    <col min="3" max="53" width="24" customWidth="1"/>
  </cols>
  <sheetData>
    <row r="1" spans="1:53" ht="7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41</v>
      </c>
      <c r="Y1" s="5" t="s">
        <v>42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s="5" t="s">
        <v>41</v>
      </c>
      <c r="AK1" s="5" t="s">
        <v>42</v>
      </c>
      <c r="AL1" s="5" t="s">
        <v>43</v>
      </c>
      <c r="AM1" s="5" t="s">
        <v>44</v>
      </c>
      <c r="AN1" s="5" t="s">
        <v>45</v>
      </c>
      <c r="AO1" s="5" t="s">
        <v>46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41</v>
      </c>
      <c r="AW1" s="5" t="s">
        <v>42</v>
      </c>
      <c r="AX1" s="5" t="s">
        <v>43</v>
      </c>
      <c r="AY1" s="5" t="s">
        <v>44</v>
      </c>
      <c r="AZ1" s="5" t="s">
        <v>45</v>
      </c>
      <c r="BA1" s="5" t="s">
        <v>46</v>
      </c>
    </row>
    <row r="2" spans="1:53">
      <c r="A2" s="12">
        <v>46305.451157407406</v>
      </c>
      <c r="B2" s="13" t="s">
        <v>101</v>
      </c>
      <c r="C2" s="14" t="s">
        <v>16</v>
      </c>
      <c r="D2" s="14" t="s">
        <v>17</v>
      </c>
      <c r="E2" s="14" t="s">
        <v>19</v>
      </c>
      <c r="F2" s="14" t="s">
        <v>16</v>
      </c>
      <c r="G2" s="14" t="s">
        <v>16</v>
      </c>
      <c r="H2" s="14" t="s">
        <v>18</v>
      </c>
      <c r="I2" s="14" t="s">
        <v>22</v>
      </c>
      <c r="J2" s="14" t="s">
        <v>16</v>
      </c>
      <c r="K2" s="14" t="s">
        <v>17</v>
      </c>
      <c r="L2" s="14" t="s">
        <v>22</v>
      </c>
      <c r="M2" s="14" t="s">
        <v>19</v>
      </c>
      <c r="N2" s="14" t="s">
        <v>20</v>
      </c>
      <c r="O2" s="14" t="s">
        <v>16</v>
      </c>
      <c r="P2" s="14" t="s">
        <v>16</v>
      </c>
      <c r="Q2" s="14" t="s">
        <v>19</v>
      </c>
      <c r="R2" s="13" t="s">
        <v>21</v>
      </c>
      <c r="S2" s="13" t="s">
        <v>20</v>
      </c>
      <c r="T2" s="13" t="s">
        <v>18</v>
      </c>
      <c r="U2" s="13" t="s">
        <v>18</v>
      </c>
      <c r="V2" s="13" t="s">
        <v>18</v>
      </c>
      <c r="W2" s="13" t="s">
        <v>16</v>
      </c>
      <c r="X2" s="13" t="s">
        <v>19</v>
      </c>
      <c r="Y2" s="13" t="s">
        <v>17</v>
      </c>
      <c r="Z2" s="13" t="s">
        <v>18</v>
      </c>
      <c r="AA2" s="13" t="s">
        <v>17</v>
      </c>
      <c r="AB2" s="13" t="s">
        <v>18</v>
      </c>
      <c r="AC2" s="13" t="s">
        <v>18</v>
      </c>
      <c r="AD2" s="13" t="s">
        <v>17</v>
      </c>
      <c r="AE2" s="13" t="s">
        <v>23</v>
      </c>
      <c r="AF2" s="13" t="s">
        <v>17</v>
      </c>
      <c r="AG2" s="13" t="s">
        <v>22</v>
      </c>
      <c r="AH2" s="13" t="s">
        <v>21</v>
      </c>
      <c r="AI2" s="13" t="s">
        <v>18</v>
      </c>
      <c r="AJ2" s="13" t="s">
        <v>17</v>
      </c>
      <c r="AK2" s="13" t="s">
        <v>15</v>
      </c>
      <c r="AL2" s="13" t="s">
        <v>17</v>
      </c>
      <c r="AM2" s="13" t="s">
        <v>18</v>
      </c>
      <c r="AN2" s="13" t="s">
        <v>20</v>
      </c>
      <c r="AO2" s="13" t="s">
        <v>22</v>
      </c>
      <c r="AP2" s="13" t="s">
        <v>21</v>
      </c>
      <c r="AQ2" s="13" t="s">
        <v>21</v>
      </c>
      <c r="AR2" s="13" t="s">
        <v>19</v>
      </c>
      <c r="AS2" s="13" t="s">
        <v>18</v>
      </c>
      <c r="AT2" s="13" t="s">
        <v>16</v>
      </c>
      <c r="AU2" s="13" t="s">
        <v>16</v>
      </c>
      <c r="AV2" s="13" t="s">
        <v>22</v>
      </c>
      <c r="AW2" s="13" t="s">
        <v>18</v>
      </c>
      <c r="AX2" s="13" t="s">
        <v>16</v>
      </c>
      <c r="AY2" s="13" t="s">
        <v>15</v>
      </c>
      <c r="AZ2" s="13" t="s">
        <v>15</v>
      </c>
      <c r="BA2" s="13" t="s">
        <v>19</v>
      </c>
    </row>
    <row r="3" spans="1:53">
      <c r="A3" s="12">
        <v>46305.86210648148</v>
      </c>
      <c r="B3" s="13" t="s">
        <v>100</v>
      </c>
      <c r="C3" s="13" t="s">
        <v>19</v>
      </c>
      <c r="D3" s="13" t="s">
        <v>17</v>
      </c>
      <c r="E3" s="13" t="s">
        <v>19</v>
      </c>
      <c r="F3" s="13" t="s">
        <v>19</v>
      </c>
      <c r="G3" s="13" t="s">
        <v>19</v>
      </c>
      <c r="H3" s="13" t="s">
        <v>17</v>
      </c>
      <c r="I3" s="13" t="s">
        <v>19</v>
      </c>
      <c r="J3" s="13" t="s">
        <v>19</v>
      </c>
      <c r="K3" s="13" t="s">
        <v>19</v>
      </c>
      <c r="L3" s="13" t="s">
        <v>21</v>
      </c>
      <c r="M3" s="13" t="s">
        <v>20</v>
      </c>
      <c r="N3" s="13" t="s">
        <v>20</v>
      </c>
      <c r="O3" s="13" t="s">
        <v>19</v>
      </c>
      <c r="P3" s="13" t="s">
        <v>19</v>
      </c>
      <c r="Q3" s="13" t="s">
        <v>19</v>
      </c>
      <c r="R3" s="13" t="s">
        <v>21</v>
      </c>
      <c r="S3" s="13" t="s">
        <v>21</v>
      </c>
      <c r="T3" s="13" t="s">
        <v>19</v>
      </c>
      <c r="U3" s="13" t="s">
        <v>19</v>
      </c>
      <c r="V3" s="13" t="s">
        <v>17</v>
      </c>
      <c r="W3" s="13" t="s">
        <v>17</v>
      </c>
      <c r="X3" s="13" t="s">
        <v>22</v>
      </c>
      <c r="Y3" s="13" t="s">
        <v>21</v>
      </c>
      <c r="Z3" s="13" t="s">
        <v>20</v>
      </c>
      <c r="AA3" s="13" t="s">
        <v>18</v>
      </c>
      <c r="AB3" s="13" t="s">
        <v>18</v>
      </c>
      <c r="AC3" s="13" t="s">
        <v>19</v>
      </c>
      <c r="AD3" s="13" t="s">
        <v>18</v>
      </c>
      <c r="AE3" s="13" t="s">
        <v>19</v>
      </c>
      <c r="AF3" s="13" t="s">
        <v>19</v>
      </c>
      <c r="AG3" s="13" t="s">
        <v>20</v>
      </c>
      <c r="AH3" s="13" t="s">
        <v>20</v>
      </c>
      <c r="AI3" s="13" t="s">
        <v>19</v>
      </c>
      <c r="AJ3" s="13" t="s">
        <v>22</v>
      </c>
      <c r="AK3" s="13" t="s">
        <v>21</v>
      </c>
      <c r="AL3" s="13" t="s">
        <v>21</v>
      </c>
      <c r="AM3" s="13" t="s">
        <v>17</v>
      </c>
      <c r="AN3" s="13" t="s">
        <v>17</v>
      </c>
      <c r="AO3" s="13" t="s">
        <v>19</v>
      </c>
      <c r="AP3" s="13" t="s">
        <v>20</v>
      </c>
      <c r="AQ3" s="13" t="s">
        <v>20</v>
      </c>
      <c r="AR3" s="13" t="s">
        <v>18</v>
      </c>
      <c r="AS3" s="13" t="s">
        <v>19</v>
      </c>
      <c r="AT3" s="13" t="s">
        <v>17</v>
      </c>
      <c r="AU3" s="13" t="s">
        <v>17</v>
      </c>
      <c r="AV3" s="13" t="s">
        <v>20</v>
      </c>
      <c r="AW3" s="13" t="s">
        <v>20</v>
      </c>
      <c r="AX3" s="13" t="s">
        <v>18</v>
      </c>
      <c r="AY3" s="13" t="s">
        <v>19</v>
      </c>
      <c r="AZ3" s="13" t="s">
        <v>17</v>
      </c>
      <c r="BA3" s="13" t="s">
        <v>17</v>
      </c>
    </row>
    <row r="4" spans="1:53">
      <c r="A4" s="12">
        <v>46305.925543981481</v>
      </c>
      <c r="B4" s="13" t="s">
        <v>99</v>
      </c>
      <c r="C4" s="13" t="s">
        <v>18</v>
      </c>
      <c r="D4" s="13" t="s">
        <v>15</v>
      </c>
      <c r="E4" s="13" t="s">
        <v>20</v>
      </c>
      <c r="F4" s="13" t="s">
        <v>18</v>
      </c>
      <c r="G4" s="13" t="s">
        <v>17</v>
      </c>
      <c r="H4" s="13" t="s">
        <v>17</v>
      </c>
      <c r="I4" s="13" t="s">
        <v>21</v>
      </c>
      <c r="J4" s="13" t="s">
        <v>18</v>
      </c>
      <c r="K4" s="13" t="s">
        <v>19</v>
      </c>
      <c r="L4" s="13" t="s">
        <v>21</v>
      </c>
      <c r="M4" s="13" t="s">
        <v>20</v>
      </c>
      <c r="N4" s="13" t="s">
        <v>20</v>
      </c>
      <c r="O4" s="13" t="s">
        <v>17</v>
      </c>
      <c r="P4" s="13" t="s">
        <v>18</v>
      </c>
      <c r="Q4" s="13" t="s">
        <v>19</v>
      </c>
      <c r="R4" s="13" t="s">
        <v>21</v>
      </c>
      <c r="S4" s="13" t="s">
        <v>20</v>
      </c>
      <c r="T4" s="13" t="s">
        <v>19</v>
      </c>
      <c r="U4" s="13" t="s">
        <v>18</v>
      </c>
      <c r="V4" s="13" t="s">
        <v>17</v>
      </c>
      <c r="W4" s="13" t="s">
        <v>17</v>
      </c>
      <c r="X4" s="13" t="s">
        <v>20</v>
      </c>
      <c r="Y4" s="13" t="s">
        <v>19</v>
      </c>
      <c r="Z4" s="13" t="s">
        <v>18</v>
      </c>
      <c r="AA4" s="13" t="s">
        <v>18</v>
      </c>
      <c r="AB4" s="13" t="s">
        <v>18</v>
      </c>
      <c r="AC4" s="13" t="s">
        <v>19</v>
      </c>
      <c r="AD4" s="13" t="s">
        <v>18</v>
      </c>
      <c r="AE4" s="13" t="s">
        <v>19</v>
      </c>
      <c r="AF4" s="13" t="s">
        <v>18</v>
      </c>
      <c r="AG4" s="13" t="s">
        <v>21</v>
      </c>
      <c r="AH4" s="13" t="s">
        <v>20</v>
      </c>
      <c r="AI4" s="13" t="s">
        <v>18</v>
      </c>
      <c r="AJ4" s="13" t="s">
        <v>20</v>
      </c>
      <c r="AK4" s="13" t="s">
        <v>18</v>
      </c>
      <c r="AL4" s="13" t="s">
        <v>19</v>
      </c>
      <c r="AM4" s="13" t="s">
        <v>18</v>
      </c>
      <c r="AN4" s="13" t="s">
        <v>19</v>
      </c>
      <c r="AO4" s="13" t="s">
        <v>20</v>
      </c>
      <c r="AP4" s="13" t="s">
        <v>21</v>
      </c>
      <c r="AQ4" s="13" t="s">
        <v>20</v>
      </c>
      <c r="AR4" s="13" t="s">
        <v>19</v>
      </c>
      <c r="AS4" s="13" t="s">
        <v>19</v>
      </c>
      <c r="AT4" s="13" t="s">
        <v>16</v>
      </c>
      <c r="AU4" s="13" t="s">
        <v>17</v>
      </c>
      <c r="AV4" s="13" t="s">
        <v>21</v>
      </c>
      <c r="AW4" s="13" t="s">
        <v>18</v>
      </c>
      <c r="AX4" s="13" t="s">
        <v>18</v>
      </c>
      <c r="AY4" s="13" t="s">
        <v>18</v>
      </c>
      <c r="AZ4" s="13" t="s">
        <v>16</v>
      </c>
      <c r="BA4" s="13" t="s">
        <v>17</v>
      </c>
    </row>
    <row r="5" spans="1:5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4"/>
  <sheetViews>
    <sheetView workbookViewId="0">
      <pane xSplit="2" ySplit="1" topLeftCell="T2" activePane="bottomRight" state="frozen"/>
      <selection pane="topRight"/>
      <selection pane="bottomLeft"/>
      <selection pane="bottomRight" sqref="A1:BA1"/>
    </sheetView>
  </sheetViews>
  <sheetFormatPr baseColWidth="10" defaultColWidth="8.83203125" defaultRowHeight="15"/>
  <cols>
    <col min="1" max="2" width="18" customWidth="1"/>
    <col min="3" max="53" width="14" customWidth="1"/>
  </cols>
  <sheetData>
    <row r="1" spans="1:53">
      <c r="A1" s="5" t="s">
        <v>47</v>
      </c>
      <c r="B1" s="5" t="s">
        <v>24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69</v>
      </c>
      <c r="Y1" s="5" t="s">
        <v>70</v>
      </c>
      <c r="Z1" s="5" t="s">
        <v>71</v>
      </c>
      <c r="AA1" s="5" t="s">
        <v>72</v>
      </c>
      <c r="AB1" s="5" t="s">
        <v>73</v>
      </c>
      <c r="AC1" s="5" t="s">
        <v>74</v>
      </c>
      <c r="AD1" s="5" t="s">
        <v>75</v>
      </c>
      <c r="AE1" s="5" t="s">
        <v>76</v>
      </c>
      <c r="AF1" s="5" t="s">
        <v>77</v>
      </c>
      <c r="AG1" s="5" t="s">
        <v>78</v>
      </c>
      <c r="AH1" s="5" t="s">
        <v>79</v>
      </c>
      <c r="AI1" s="5" t="s">
        <v>80</v>
      </c>
      <c r="AJ1" s="5" t="s">
        <v>81</v>
      </c>
      <c r="AK1" s="5" t="s">
        <v>82</v>
      </c>
      <c r="AL1" s="5" t="s">
        <v>83</v>
      </c>
      <c r="AM1" s="5" t="s">
        <v>84</v>
      </c>
      <c r="AN1" s="5" t="s">
        <v>85</v>
      </c>
      <c r="AO1" s="5" t="s">
        <v>86</v>
      </c>
      <c r="AP1" s="5" t="s">
        <v>87</v>
      </c>
      <c r="AQ1" s="5" t="s">
        <v>88</v>
      </c>
      <c r="AR1" s="5" t="s">
        <v>89</v>
      </c>
      <c r="AS1" s="5" t="s">
        <v>90</v>
      </c>
      <c r="AT1" s="5" t="s">
        <v>91</v>
      </c>
      <c r="AU1" s="5" t="s">
        <v>92</v>
      </c>
      <c r="AV1" s="5" t="s">
        <v>93</v>
      </c>
      <c r="AW1" s="5" t="s">
        <v>94</v>
      </c>
      <c r="AX1" s="5" t="s">
        <v>95</v>
      </c>
      <c r="AY1" s="5" t="s">
        <v>96</v>
      </c>
      <c r="AZ1" s="5" t="s">
        <v>97</v>
      </c>
      <c r="BA1" s="5" t="s">
        <v>98</v>
      </c>
    </row>
    <row r="2" spans="1:53">
      <c r="A2" s="4" t="s">
        <v>99</v>
      </c>
      <c r="B2" s="4">
        <f>IFERROR(INDEX(Ответы_Forms!$A$2:$A$10,MATCH($A2,Ответы_Forms!$B$2:$B$10,0)),"")</f>
        <v>46305.925543981481</v>
      </c>
      <c r="C2" s="9">
        <f>IFERROR(VLOOKUP(INDEX(Ответы_Forms!C$2:C$10,MATCH($A2,Ответы_Forms!$B$2:$B$10,0)),Шкала_Саати!$A$4:$B$12,2,FALSE),"")</f>
        <v>3</v>
      </c>
      <c r="D2" s="9">
        <f>IFERROR(VLOOKUP(INDEX(Ответы_Forms!D$2:D$10,MATCH($A2,Ответы_Forms!$B$2:$B$10,0)),Шкала_Саати!$A$4:$B$12,2,FALSE),"")</f>
        <v>9</v>
      </c>
      <c r="E2" s="9">
        <f>IFERROR(VLOOKUP(INDEX(Ответы_Forms!E$2:E$10,MATCH($A2,Ответы_Forms!$B$2:$B$10,0)),Шкала_Саати!$A$4:$B$12,2,FALSE),"")</f>
        <v>0.33333333333333331</v>
      </c>
      <c r="F2" s="9">
        <f>IFERROR(VLOOKUP(INDEX(Ответы_Forms!F$2:F$10,MATCH($A2,Ответы_Forms!$B$2:$B$10,0)),Шкала_Саати!$A$4:$B$12,2,FALSE),"")</f>
        <v>3</v>
      </c>
      <c r="G2" s="9">
        <f>IFERROR(VLOOKUP(INDEX(Ответы_Forms!G$2:G$10,MATCH($A2,Ответы_Forms!$B$2:$B$10,0)),Шкала_Саати!$A$4:$B$12,2,FALSE),"")</f>
        <v>5</v>
      </c>
      <c r="H2" s="9">
        <f>IFERROR(VLOOKUP(INDEX(Ответы_Forms!H$2:H$10,MATCH($A2,Ответы_Forms!$B$2:$B$10,0)),Шкала_Саати!$A$4:$B$12,2,FALSE),"")</f>
        <v>5</v>
      </c>
      <c r="I2" s="9">
        <f>IFERROR(VLOOKUP(INDEX(Ответы_Forms!I$2:I$10,MATCH($A2,Ответы_Forms!$B$2:$B$10,0)),Шкала_Саати!$A$4:$B$12,2,FALSE),"")</f>
        <v>0.2</v>
      </c>
      <c r="J2" s="9">
        <f>IFERROR(VLOOKUP(INDEX(Ответы_Forms!J$2:J$10,MATCH($A2,Ответы_Forms!$B$2:$B$10,0)),Шкала_Саати!$A$4:$B$12,2,FALSE),"")</f>
        <v>3</v>
      </c>
      <c r="K2" s="9">
        <f>IFERROR(VLOOKUP(INDEX(Ответы_Forms!K$2:K$10,MATCH($A2,Ответы_Forms!$B$2:$B$10,0)),Шкала_Саати!$A$4:$B$12,2,FALSE),"")</f>
        <v>1</v>
      </c>
      <c r="L2" s="9">
        <f>IFERROR(VLOOKUP(INDEX(Ответы_Forms!L$2:L$10,MATCH($A2,Ответы_Forms!$B$2:$B$10,0)),Шкала_Саати!$A$4:$B$12,2,FALSE),"")</f>
        <v>0.2</v>
      </c>
      <c r="M2" s="9">
        <f>IFERROR(VLOOKUP(INDEX(Ответы_Forms!M$2:M$10,MATCH($A2,Ответы_Forms!$B$2:$B$10,0)),Шкала_Саати!$A$4:$B$12,2,FALSE),"")</f>
        <v>0.33333333333333331</v>
      </c>
      <c r="N2" s="9">
        <f>IFERROR(VLOOKUP(INDEX(Ответы_Forms!N$2:N$10,MATCH($A2,Ответы_Forms!$B$2:$B$10,0)),Шкала_Саати!$A$4:$B$12,2,FALSE),"")</f>
        <v>0.33333333333333331</v>
      </c>
      <c r="O2" s="9">
        <f>IFERROR(VLOOKUP(INDEX(Ответы_Forms!O$2:O$10,MATCH($A2,Ответы_Forms!$B$2:$B$10,0)),Шкала_Саати!$A$4:$B$12,2,FALSE),"")</f>
        <v>5</v>
      </c>
      <c r="P2" s="9">
        <f>IFERROR(VLOOKUP(INDEX(Ответы_Forms!P$2:P$10,MATCH($A2,Ответы_Forms!$B$2:$B$10,0)),Шкала_Саати!$A$4:$B$12,2,FALSE),"")</f>
        <v>3</v>
      </c>
      <c r="Q2" s="9">
        <f>IFERROR(VLOOKUP(INDEX(Ответы_Forms!Q$2:Q$10,MATCH($A2,Ответы_Forms!$B$2:$B$10,0)),Шкала_Саати!$A$4:$B$12,2,FALSE),"")</f>
        <v>1</v>
      </c>
      <c r="R2" s="9">
        <f>IFERROR(VLOOKUP(INDEX(Ответы_Forms!R$2:R$10,MATCH($A2,Ответы_Forms!$B$2:$B$10,0)),Шкала_Саати!$A$4:$B$12,2,FALSE),"")</f>
        <v>0.2</v>
      </c>
      <c r="S2" s="9">
        <f>IFERROR(VLOOKUP(INDEX(Ответы_Forms!S$2:S$10,MATCH($A2,Ответы_Forms!$B$2:$B$10,0)),Шкала_Саати!$A$4:$B$12,2,FALSE),"")</f>
        <v>0.33333333333333331</v>
      </c>
      <c r="T2" s="9">
        <f>IFERROR(VLOOKUP(INDEX(Ответы_Forms!T$2:T$10,MATCH($A2,Ответы_Forms!$B$2:$B$10,0)),Шкала_Саати!$A$4:$B$12,2,FALSE),"")</f>
        <v>1</v>
      </c>
      <c r="U2" s="9">
        <f>IFERROR(VLOOKUP(INDEX(Ответы_Forms!U$2:U$10,MATCH($A2,Ответы_Forms!$B$2:$B$10,0)),Шкала_Саати!$A$4:$B$12,2,FALSE),"")</f>
        <v>3</v>
      </c>
      <c r="V2" s="9">
        <f>IFERROR(VLOOKUP(INDEX(Ответы_Forms!V$2:V$10,MATCH($A2,Ответы_Forms!$B$2:$B$10,0)),Шкала_Саати!$A$4:$B$12,2,FALSE),"")</f>
        <v>5</v>
      </c>
      <c r="W2" s="9">
        <f>IFERROR(VLOOKUP(INDEX(Ответы_Forms!W$2:W$10,MATCH($A2,Ответы_Forms!$B$2:$B$10,0)),Шкала_Саати!$A$4:$B$12,2,FALSE),"")</f>
        <v>5</v>
      </c>
      <c r="X2" s="9">
        <f>IFERROR(VLOOKUP(INDEX(Ответы_Forms!X$2:X$10,MATCH($A2,Ответы_Forms!$B$2:$B$10,0)),Шкала_Саати!$A$4:$B$12,2,FALSE),"")</f>
        <v>0.33333333333333331</v>
      </c>
      <c r="Y2" s="9">
        <f>IFERROR(VLOOKUP(INDEX(Ответы_Forms!Y$2:Y$10,MATCH($A2,Ответы_Forms!$B$2:$B$10,0)),Шкала_Саати!$A$4:$B$12,2,FALSE),"")</f>
        <v>1</v>
      </c>
      <c r="Z2" s="9">
        <f>IFERROR(VLOOKUP(INDEX(Ответы_Forms!Z$2:Z$10,MATCH($A2,Ответы_Forms!$B$2:$B$10,0)),Шкала_Саати!$A$4:$B$12,2,FALSE),"")</f>
        <v>3</v>
      </c>
      <c r="AA2" s="9">
        <f>IFERROR(VLOOKUP(INDEX(Ответы_Forms!AA$2:AA$10,MATCH($A2,Ответы_Forms!$B$2:$B$10,0)),Шкала_Саати!$A$4:$B$12,2,FALSE),"")</f>
        <v>3</v>
      </c>
      <c r="AB2" s="9">
        <f>IFERROR(VLOOKUP(INDEX(Ответы_Forms!AB$2:AB$10,MATCH($A2,Ответы_Forms!$B$2:$B$10,0)),Шкала_Саати!$A$4:$B$12,2,FALSE),"")</f>
        <v>3</v>
      </c>
      <c r="AC2" s="9">
        <f>IFERROR(VLOOKUP(INDEX(Ответы_Forms!AC$2:AC$10,MATCH($A2,Ответы_Forms!$B$2:$B$10,0)),Шкала_Саати!$A$4:$B$12,2,FALSE),"")</f>
        <v>1</v>
      </c>
      <c r="AD2" s="9">
        <f>IFERROR(VLOOKUP(INDEX(Ответы_Forms!AD$2:AD$10,MATCH($A2,Ответы_Forms!$B$2:$B$10,0)),Шкала_Саати!$A$4:$B$12,2,FALSE),"")</f>
        <v>3</v>
      </c>
      <c r="AE2" s="9">
        <f>IFERROR(VLOOKUP(INDEX(Ответы_Forms!AE$2:AE$10,MATCH($A2,Ответы_Forms!$B$2:$B$10,0)),Шкала_Саати!$A$4:$B$12,2,FALSE),"")</f>
        <v>1</v>
      </c>
      <c r="AF2" s="9">
        <f>IFERROR(VLOOKUP(INDEX(Ответы_Forms!AF$2:AF$10,MATCH($A2,Ответы_Forms!$B$2:$B$10,0)),Шкала_Саати!$A$4:$B$12,2,FALSE),"")</f>
        <v>3</v>
      </c>
      <c r="AG2" s="9">
        <f>IFERROR(VLOOKUP(INDEX(Ответы_Forms!AG$2:AG$10,MATCH($A2,Ответы_Forms!$B$2:$B$10,0)),Шкала_Саати!$A$4:$B$12,2,FALSE),"")</f>
        <v>0.2</v>
      </c>
      <c r="AH2" s="9">
        <f>IFERROR(VLOOKUP(INDEX(Ответы_Forms!AH$2:AH$10,MATCH($A2,Ответы_Forms!$B$2:$B$10,0)),Шкала_Саати!$A$4:$B$12,2,FALSE),"")</f>
        <v>0.33333333333333331</v>
      </c>
      <c r="AI2" s="9">
        <f>IFERROR(VLOOKUP(INDEX(Ответы_Forms!AI$2:AI$10,MATCH($A2,Ответы_Forms!$B$2:$B$10,0)),Шкала_Саати!$A$4:$B$12,2,FALSE),"")</f>
        <v>3</v>
      </c>
      <c r="AJ2" s="9">
        <f>IFERROR(VLOOKUP(INDEX(Ответы_Forms!AJ$2:AJ$10,MATCH($A2,Ответы_Forms!$B$2:$B$10,0)),Шкала_Саати!$A$4:$B$12,2,FALSE),"")</f>
        <v>0.33333333333333331</v>
      </c>
      <c r="AK2" s="9">
        <f>IFERROR(VLOOKUP(INDEX(Ответы_Forms!AK$2:AK$10,MATCH($A2,Ответы_Forms!$B$2:$B$10,0)),Шкала_Саати!$A$4:$B$12,2,FALSE),"")</f>
        <v>3</v>
      </c>
      <c r="AL2" s="9">
        <f>IFERROR(VLOOKUP(INDEX(Ответы_Forms!AL$2:AL$10,MATCH($A2,Ответы_Forms!$B$2:$B$10,0)),Шкала_Саати!$A$4:$B$12,2,FALSE),"")</f>
        <v>1</v>
      </c>
      <c r="AM2" s="9">
        <f>IFERROR(VLOOKUP(INDEX(Ответы_Forms!AM$2:AM$10,MATCH($A2,Ответы_Forms!$B$2:$B$10,0)),Шкала_Саати!$A$4:$B$12,2,FALSE),"")</f>
        <v>3</v>
      </c>
      <c r="AN2" s="9">
        <f>IFERROR(VLOOKUP(INDEX(Ответы_Forms!AN$2:AN$10,MATCH($A2,Ответы_Forms!$B$2:$B$10,0)),Шкала_Саати!$A$4:$B$12,2,FALSE),"")</f>
        <v>1</v>
      </c>
      <c r="AO2" s="9">
        <f>IFERROR(VLOOKUP(INDEX(Ответы_Forms!AO$2:AO$10,MATCH($A2,Ответы_Forms!$B$2:$B$10,0)),Шкала_Саати!$A$4:$B$12,2,FALSE),"")</f>
        <v>0.33333333333333331</v>
      </c>
      <c r="AP2" s="9">
        <f>IFERROR(VLOOKUP(INDEX(Ответы_Forms!AP$2:AP$10,MATCH($A2,Ответы_Forms!$B$2:$B$10,0)),Шкала_Саати!$A$4:$B$12,2,FALSE),"")</f>
        <v>0.2</v>
      </c>
      <c r="AQ2" s="9">
        <f>IFERROR(VLOOKUP(INDEX(Ответы_Forms!AQ$2:AQ$10,MATCH($A2,Ответы_Forms!$B$2:$B$10,0)),Шкала_Саати!$A$4:$B$12,2,FALSE),"")</f>
        <v>0.33333333333333331</v>
      </c>
      <c r="AR2" s="9">
        <f>IFERROR(VLOOKUP(INDEX(Ответы_Forms!AR$2:AR$10,MATCH($A2,Ответы_Forms!$B$2:$B$10,0)),Шкала_Саати!$A$4:$B$12,2,FALSE),"")</f>
        <v>1</v>
      </c>
      <c r="AS2" s="9">
        <f>IFERROR(VLOOKUP(INDEX(Ответы_Forms!AS$2:AS$10,MATCH($A2,Ответы_Forms!$B$2:$B$10,0)),Шкала_Саати!$A$4:$B$12,2,FALSE),"")</f>
        <v>1</v>
      </c>
      <c r="AT2" s="9">
        <f>IFERROR(VLOOKUP(INDEX(Ответы_Forms!AT$2:AT$10,MATCH($A2,Ответы_Forms!$B$2:$B$10,0)),Шкала_Саати!$A$4:$B$12,2,FALSE),"")</f>
        <v>7</v>
      </c>
      <c r="AU2" s="9">
        <f>IFERROR(VLOOKUP(INDEX(Ответы_Forms!AU$2:AU$10,MATCH($A2,Ответы_Forms!$B$2:$B$10,0)),Шкала_Саати!$A$4:$B$12,2,FALSE),"")</f>
        <v>5</v>
      </c>
      <c r="AV2" s="9">
        <f>IFERROR(VLOOKUP(INDEX(Ответы_Forms!AV$2:AV$10,MATCH($A2,Ответы_Forms!$B$2:$B$10,0)),Шкала_Саати!$A$4:$B$12,2,FALSE),"")</f>
        <v>0.2</v>
      </c>
      <c r="AW2" s="9">
        <f>IFERROR(VLOOKUP(INDEX(Ответы_Forms!AW$2:AW$10,MATCH($A2,Ответы_Forms!$B$2:$B$10,0)),Шкала_Саати!$A$4:$B$12,2,FALSE),"")</f>
        <v>3</v>
      </c>
      <c r="AX2" s="9">
        <f>IFERROR(VLOOKUP(INDEX(Ответы_Forms!AX$2:AX$10,MATCH($A2,Ответы_Forms!$B$2:$B$10,0)),Шкала_Саати!$A$4:$B$12,2,FALSE),"")</f>
        <v>3</v>
      </c>
      <c r="AY2" s="9">
        <f>IFERROR(VLOOKUP(INDEX(Ответы_Forms!AY$2:AY$10,MATCH($A2,Ответы_Forms!$B$2:$B$10,0)),Шкала_Саати!$A$4:$B$12,2,FALSE),"")</f>
        <v>3</v>
      </c>
      <c r="AZ2" s="9">
        <f>IFERROR(VLOOKUP(INDEX(Ответы_Forms!AZ$2:AZ$10,MATCH($A2,Ответы_Forms!$B$2:$B$10,0)),Шкала_Саати!$A$4:$B$12,2,FALSE),"")</f>
        <v>7</v>
      </c>
      <c r="BA2" s="9">
        <f>IFERROR(VLOOKUP(INDEX(Ответы_Forms!BA$2:BA$10,MATCH($A2,Ответы_Forms!$B$2:$B$10,0)),Шкала_Саати!$A$4:$B$12,2,FALSE),"")</f>
        <v>5</v>
      </c>
    </row>
    <row r="3" spans="1:53">
      <c r="A3" s="4" t="s">
        <v>100</v>
      </c>
      <c r="B3" s="4">
        <f>IFERROR(INDEX(Ответы_Forms!$A$2:$A$10,MATCH($A3,Ответы_Forms!$B$2:$B$10,0)),"")</f>
        <v>46305.86210648148</v>
      </c>
      <c r="C3" s="9">
        <f>IFERROR(VLOOKUP(INDEX(Ответы_Forms!C$2:C$10,MATCH($A3,Ответы_Forms!$B$2:$B$10,0)),Шкала_Саати!$A$4:$B$12,2,FALSE),"")</f>
        <v>1</v>
      </c>
      <c r="D3" s="9">
        <f>IFERROR(VLOOKUP(INDEX(Ответы_Forms!D$2:D$10,MATCH($A3,Ответы_Forms!$B$2:$B$10,0)),Шкала_Саати!$A$4:$B$12,2,FALSE),"")</f>
        <v>5</v>
      </c>
      <c r="E3" s="9">
        <f>IFERROR(VLOOKUP(INDEX(Ответы_Forms!E$2:E$10,MATCH($A3,Ответы_Forms!$B$2:$B$10,0)),Шкала_Саати!$A$4:$B$12,2,FALSE),"")</f>
        <v>1</v>
      </c>
      <c r="F3" s="9">
        <f>IFERROR(VLOOKUP(INDEX(Ответы_Forms!F$2:F$10,MATCH($A3,Ответы_Forms!$B$2:$B$10,0)),Шкала_Саати!$A$4:$B$12,2,FALSE),"")</f>
        <v>1</v>
      </c>
      <c r="G3" s="9">
        <f>IFERROR(VLOOKUP(INDEX(Ответы_Forms!G$2:G$10,MATCH($A3,Ответы_Forms!$B$2:$B$10,0)),Шкала_Саати!$A$4:$B$12,2,FALSE),"")</f>
        <v>1</v>
      </c>
      <c r="H3" s="9">
        <f>IFERROR(VLOOKUP(INDEX(Ответы_Forms!H$2:H$10,MATCH($A3,Ответы_Forms!$B$2:$B$10,0)),Шкала_Саати!$A$4:$B$12,2,FALSE),"")</f>
        <v>5</v>
      </c>
      <c r="I3" s="9">
        <f>IFERROR(VLOOKUP(INDEX(Ответы_Forms!I$2:I$10,MATCH($A3,Ответы_Forms!$B$2:$B$10,0)),Шкала_Саати!$A$4:$B$12,2,FALSE),"")</f>
        <v>1</v>
      </c>
      <c r="J3" s="9">
        <f>IFERROR(VLOOKUP(INDEX(Ответы_Forms!J$2:J$10,MATCH($A3,Ответы_Forms!$B$2:$B$10,0)),Шкала_Саати!$A$4:$B$12,2,FALSE),"")</f>
        <v>1</v>
      </c>
      <c r="K3" s="9">
        <f>IFERROR(VLOOKUP(INDEX(Ответы_Forms!K$2:K$10,MATCH($A3,Ответы_Forms!$B$2:$B$10,0)),Шкала_Саати!$A$4:$B$12,2,FALSE),"")</f>
        <v>1</v>
      </c>
      <c r="L3" s="9">
        <f>IFERROR(VLOOKUP(INDEX(Ответы_Forms!L$2:L$10,MATCH($A3,Ответы_Forms!$B$2:$B$10,0)),Шкала_Саати!$A$4:$B$12,2,FALSE),"")</f>
        <v>0.2</v>
      </c>
      <c r="M3" s="9">
        <f>IFERROR(VLOOKUP(INDEX(Ответы_Forms!M$2:M$10,MATCH($A3,Ответы_Forms!$B$2:$B$10,0)),Шкала_Саати!$A$4:$B$12,2,FALSE),"")</f>
        <v>0.33333333333333331</v>
      </c>
      <c r="N3" s="9">
        <f>IFERROR(VLOOKUP(INDEX(Ответы_Forms!N$2:N$10,MATCH($A3,Ответы_Forms!$B$2:$B$10,0)),Шкала_Саати!$A$4:$B$12,2,FALSE),"")</f>
        <v>0.33333333333333331</v>
      </c>
      <c r="O3" s="9">
        <f>IFERROR(VLOOKUP(INDEX(Ответы_Forms!O$2:O$10,MATCH($A3,Ответы_Forms!$B$2:$B$10,0)),Шкала_Саати!$A$4:$B$12,2,FALSE),"")</f>
        <v>1</v>
      </c>
      <c r="P3" s="9">
        <f>IFERROR(VLOOKUP(INDEX(Ответы_Forms!P$2:P$10,MATCH($A3,Ответы_Forms!$B$2:$B$10,0)),Шкала_Саати!$A$4:$B$12,2,FALSE),"")</f>
        <v>1</v>
      </c>
      <c r="Q3" s="9">
        <f>IFERROR(VLOOKUP(INDEX(Ответы_Forms!Q$2:Q$10,MATCH($A3,Ответы_Forms!$B$2:$B$10,0)),Шкала_Саати!$A$4:$B$12,2,FALSE),"")</f>
        <v>1</v>
      </c>
      <c r="R3" s="9">
        <f>IFERROR(VLOOKUP(INDEX(Ответы_Forms!R$2:R$10,MATCH($A3,Ответы_Forms!$B$2:$B$10,0)),Шкала_Саати!$A$4:$B$12,2,FALSE),"")</f>
        <v>0.2</v>
      </c>
      <c r="S3" s="9">
        <f>IFERROR(VLOOKUP(INDEX(Ответы_Forms!S$2:S$10,MATCH($A3,Ответы_Forms!$B$2:$B$10,0)),Шкала_Саати!$A$4:$B$12,2,FALSE),"")</f>
        <v>0.2</v>
      </c>
      <c r="T3" s="9">
        <f>IFERROR(VLOOKUP(INDEX(Ответы_Forms!T$2:T$10,MATCH($A3,Ответы_Forms!$B$2:$B$10,0)),Шкала_Саати!$A$4:$B$12,2,FALSE),"")</f>
        <v>1</v>
      </c>
      <c r="U3" s="9">
        <f>IFERROR(VLOOKUP(INDEX(Ответы_Forms!U$2:U$10,MATCH($A3,Ответы_Forms!$B$2:$B$10,0)),Шкала_Саати!$A$4:$B$12,2,FALSE),"")</f>
        <v>1</v>
      </c>
      <c r="V3" s="9">
        <f>IFERROR(VLOOKUP(INDEX(Ответы_Forms!V$2:V$10,MATCH($A3,Ответы_Forms!$B$2:$B$10,0)),Шкала_Саати!$A$4:$B$12,2,FALSE),"")</f>
        <v>5</v>
      </c>
      <c r="W3" s="9">
        <f>IFERROR(VLOOKUP(INDEX(Ответы_Forms!W$2:W$10,MATCH($A3,Ответы_Forms!$B$2:$B$10,0)),Шкала_Саати!$A$4:$B$12,2,FALSE),"")</f>
        <v>5</v>
      </c>
      <c r="X3" s="9">
        <f>IFERROR(VLOOKUP(INDEX(Ответы_Forms!X$2:X$10,MATCH($A3,Ответы_Forms!$B$2:$B$10,0)),Шкала_Саати!$A$4:$B$12,2,FALSE),"")</f>
        <v>0.14285714285714285</v>
      </c>
      <c r="Y3" s="9">
        <f>IFERROR(VLOOKUP(INDEX(Ответы_Forms!Y$2:Y$10,MATCH($A3,Ответы_Forms!$B$2:$B$10,0)),Шкала_Саати!$A$4:$B$12,2,FALSE),"")</f>
        <v>0.2</v>
      </c>
      <c r="Z3" s="9">
        <f>IFERROR(VLOOKUP(INDEX(Ответы_Forms!Z$2:Z$10,MATCH($A3,Ответы_Forms!$B$2:$B$10,0)),Шкала_Саати!$A$4:$B$12,2,FALSE),"")</f>
        <v>0.33333333333333331</v>
      </c>
      <c r="AA3" s="9">
        <f>IFERROR(VLOOKUP(INDEX(Ответы_Forms!AA$2:AA$10,MATCH($A3,Ответы_Forms!$B$2:$B$10,0)),Шкала_Саати!$A$4:$B$12,2,FALSE),"")</f>
        <v>3</v>
      </c>
      <c r="AB3" s="9">
        <f>IFERROR(VLOOKUP(INDEX(Ответы_Forms!AB$2:AB$10,MATCH($A3,Ответы_Forms!$B$2:$B$10,0)),Шкала_Саати!$A$4:$B$12,2,FALSE),"")</f>
        <v>3</v>
      </c>
      <c r="AC3" s="9">
        <f>IFERROR(VLOOKUP(INDEX(Ответы_Forms!AC$2:AC$10,MATCH($A3,Ответы_Forms!$B$2:$B$10,0)),Шкала_Саати!$A$4:$B$12,2,FALSE),"")</f>
        <v>1</v>
      </c>
      <c r="AD3" s="9">
        <f>IFERROR(VLOOKUP(INDEX(Ответы_Forms!AD$2:AD$10,MATCH($A3,Ответы_Forms!$B$2:$B$10,0)),Шкала_Саати!$A$4:$B$12,2,FALSE),"")</f>
        <v>3</v>
      </c>
      <c r="AE3" s="9">
        <f>IFERROR(VLOOKUP(INDEX(Ответы_Forms!AE$2:AE$10,MATCH($A3,Ответы_Forms!$B$2:$B$10,0)),Шкала_Саати!$A$4:$B$12,2,FALSE),"")</f>
        <v>1</v>
      </c>
      <c r="AF3" s="9">
        <f>IFERROR(VLOOKUP(INDEX(Ответы_Forms!AF$2:AF$10,MATCH($A3,Ответы_Forms!$B$2:$B$10,0)),Шкала_Саати!$A$4:$B$12,2,FALSE),"")</f>
        <v>1</v>
      </c>
      <c r="AG3" s="9">
        <f>IFERROR(VLOOKUP(INDEX(Ответы_Forms!AG$2:AG$10,MATCH($A3,Ответы_Forms!$B$2:$B$10,0)),Шкала_Саати!$A$4:$B$12,2,FALSE),"")</f>
        <v>0.33333333333333331</v>
      </c>
      <c r="AH3" s="9">
        <f>IFERROR(VLOOKUP(INDEX(Ответы_Forms!AH$2:AH$10,MATCH($A3,Ответы_Forms!$B$2:$B$10,0)),Шкала_Саати!$A$4:$B$12,2,FALSE),"")</f>
        <v>0.33333333333333331</v>
      </c>
      <c r="AI3" s="9">
        <f>IFERROR(VLOOKUP(INDEX(Ответы_Forms!AI$2:AI$10,MATCH($A3,Ответы_Forms!$B$2:$B$10,0)),Шкала_Саати!$A$4:$B$12,2,FALSE),"")</f>
        <v>1</v>
      </c>
      <c r="AJ3" s="9">
        <f>IFERROR(VLOOKUP(INDEX(Ответы_Forms!AJ$2:AJ$10,MATCH($A3,Ответы_Forms!$B$2:$B$10,0)),Шкала_Саати!$A$4:$B$12,2,FALSE),"")</f>
        <v>0.14285714285714285</v>
      </c>
      <c r="AK3" s="9">
        <f>IFERROR(VLOOKUP(INDEX(Ответы_Forms!AK$2:AK$10,MATCH($A3,Ответы_Forms!$B$2:$B$10,0)),Шкала_Саати!$A$4:$B$12,2,FALSE),"")</f>
        <v>0.2</v>
      </c>
      <c r="AL3" s="9">
        <f>IFERROR(VLOOKUP(INDEX(Ответы_Forms!AL$2:AL$10,MATCH($A3,Ответы_Forms!$B$2:$B$10,0)),Шкала_Саати!$A$4:$B$12,2,FALSE),"")</f>
        <v>0.2</v>
      </c>
      <c r="AM3" s="9">
        <f>IFERROR(VLOOKUP(INDEX(Ответы_Forms!AM$2:AM$10,MATCH($A3,Ответы_Forms!$B$2:$B$10,0)),Шкала_Саати!$A$4:$B$12,2,FALSE),"")</f>
        <v>5</v>
      </c>
      <c r="AN3" s="9">
        <f>IFERROR(VLOOKUP(INDEX(Ответы_Forms!AN$2:AN$10,MATCH($A3,Ответы_Forms!$B$2:$B$10,0)),Шкала_Саати!$A$4:$B$12,2,FALSE),"")</f>
        <v>5</v>
      </c>
      <c r="AO3" s="9">
        <f>IFERROR(VLOOKUP(INDEX(Ответы_Forms!AO$2:AO$10,MATCH($A3,Ответы_Forms!$B$2:$B$10,0)),Шкала_Саати!$A$4:$B$12,2,FALSE),"")</f>
        <v>1</v>
      </c>
      <c r="AP3" s="9">
        <f>IFERROR(VLOOKUP(INDEX(Ответы_Forms!AP$2:AP$10,MATCH($A3,Ответы_Forms!$B$2:$B$10,0)),Шкала_Саати!$A$4:$B$12,2,FALSE),"")</f>
        <v>0.33333333333333331</v>
      </c>
      <c r="AQ3" s="9">
        <f>IFERROR(VLOOKUP(INDEX(Ответы_Forms!AQ$2:AQ$10,MATCH($A3,Ответы_Forms!$B$2:$B$10,0)),Шкала_Саати!$A$4:$B$12,2,FALSE),"")</f>
        <v>0.33333333333333331</v>
      </c>
      <c r="AR3" s="9">
        <f>IFERROR(VLOOKUP(INDEX(Ответы_Forms!AR$2:AR$10,MATCH($A3,Ответы_Forms!$B$2:$B$10,0)),Шкала_Саати!$A$4:$B$12,2,FALSE),"")</f>
        <v>3</v>
      </c>
      <c r="AS3" s="9">
        <f>IFERROR(VLOOKUP(INDEX(Ответы_Forms!AS$2:AS$10,MATCH($A3,Ответы_Forms!$B$2:$B$10,0)),Шкала_Саати!$A$4:$B$12,2,FALSE),"")</f>
        <v>1</v>
      </c>
      <c r="AT3" s="9">
        <f>IFERROR(VLOOKUP(INDEX(Ответы_Forms!AT$2:AT$10,MATCH($A3,Ответы_Forms!$B$2:$B$10,0)),Шкала_Саати!$A$4:$B$12,2,FALSE),"")</f>
        <v>5</v>
      </c>
      <c r="AU3" s="9">
        <f>IFERROR(VLOOKUP(INDEX(Ответы_Forms!AU$2:AU$10,MATCH($A3,Ответы_Forms!$B$2:$B$10,0)),Шкала_Саати!$A$4:$B$12,2,FALSE),"")</f>
        <v>5</v>
      </c>
      <c r="AV3" s="9">
        <f>IFERROR(VLOOKUP(INDEX(Ответы_Forms!AV$2:AV$10,MATCH($A3,Ответы_Forms!$B$2:$B$10,0)),Шкала_Саати!$A$4:$B$12,2,FALSE),"")</f>
        <v>0.33333333333333331</v>
      </c>
      <c r="AW3" s="9">
        <f>IFERROR(VLOOKUP(INDEX(Ответы_Forms!AW$2:AW$10,MATCH($A3,Ответы_Forms!$B$2:$B$10,0)),Шкала_Саати!$A$4:$B$12,2,FALSE),"")</f>
        <v>0.33333333333333331</v>
      </c>
      <c r="AX3" s="9">
        <f>IFERROR(VLOOKUP(INDEX(Ответы_Forms!AX$2:AX$10,MATCH($A3,Ответы_Forms!$B$2:$B$10,0)),Шкала_Саати!$A$4:$B$12,2,FALSE),"")</f>
        <v>3</v>
      </c>
      <c r="AY3" s="9">
        <f>IFERROR(VLOOKUP(INDEX(Ответы_Forms!AY$2:AY$10,MATCH($A3,Ответы_Forms!$B$2:$B$10,0)),Шкала_Саати!$A$4:$B$12,2,FALSE),"")</f>
        <v>1</v>
      </c>
      <c r="AZ3" s="9">
        <f>IFERROR(VLOOKUP(INDEX(Ответы_Forms!AZ$2:AZ$10,MATCH($A3,Ответы_Forms!$B$2:$B$10,0)),Шкала_Саати!$A$4:$B$12,2,FALSE),"")</f>
        <v>5</v>
      </c>
      <c r="BA3" s="9">
        <f>IFERROR(VLOOKUP(INDEX(Ответы_Forms!BA$2:BA$10,MATCH($A3,Ответы_Forms!$B$2:$B$10,0)),Шкала_Саати!$A$4:$B$12,2,FALSE),"")</f>
        <v>5</v>
      </c>
    </row>
    <row r="4" spans="1:53">
      <c r="A4" s="4" t="s">
        <v>101</v>
      </c>
      <c r="B4" s="4">
        <f>IFERROR(INDEX(Ответы_Forms!$A$2:$A$10,MATCH($A4,Ответы_Forms!$B$2:$B$10,0)),"")</f>
        <v>46305.451157407406</v>
      </c>
      <c r="C4" s="9">
        <f>IFERROR(VLOOKUP(INDEX(Ответы_Forms!C$2:C$10,MATCH($A4,Ответы_Forms!$B$2:$B$10,0)),Шкала_Саати!$A$4:$B$12,2,FALSE),"")</f>
        <v>7</v>
      </c>
      <c r="D4" s="9">
        <f>IFERROR(VLOOKUP(INDEX(Ответы_Forms!D$2:D$10,MATCH($A4,Ответы_Forms!$B$2:$B$10,0)),Шкала_Саати!$A$4:$B$12,2,FALSE),"")</f>
        <v>5</v>
      </c>
      <c r="E4" s="9">
        <f>IFERROR(VLOOKUP(INDEX(Ответы_Forms!E$2:E$10,MATCH($A4,Ответы_Forms!$B$2:$B$10,0)),Шкала_Саати!$A$4:$B$12,2,FALSE),"")</f>
        <v>1</v>
      </c>
      <c r="F4" s="9">
        <f>IFERROR(VLOOKUP(INDEX(Ответы_Forms!F$2:F$10,MATCH($A4,Ответы_Forms!$B$2:$B$10,0)),Шкала_Саати!$A$4:$B$12,2,FALSE),"")</f>
        <v>7</v>
      </c>
      <c r="G4" s="9">
        <f>IFERROR(VLOOKUP(INDEX(Ответы_Forms!G$2:G$10,MATCH($A4,Ответы_Forms!$B$2:$B$10,0)),Шкала_Саати!$A$4:$B$12,2,FALSE),"")</f>
        <v>7</v>
      </c>
      <c r="H4" s="9">
        <f>IFERROR(VLOOKUP(INDEX(Ответы_Forms!H$2:H$10,MATCH($A4,Ответы_Forms!$B$2:$B$10,0)),Шкала_Саати!$A$4:$B$12,2,FALSE),"")</f>
        <v>3</v>
      </c>
      <c r="I4" s="9">
        <f>IFERROR(VLOOKUP(INDEX(Ответы_Forms!I$2:I$10,MATCH($A4,Ответы_Forms!$B$2:$B$10,0)),Шкала_Саати!$A$4:$B$12,2,FALSE),"")</f>
        <v>0.14285714285714285</v>
      </c>
      <c r="J4" s="9">
        <f>IFERROR(VLOOKUP(INDEX(Ответы_Forms!J$2:J$10,MATCH($A4,Ответы_Forms!$B$2:$B$10,0)),Шкала_Саати!$A$4:$B$12,2,FALSE),"")</f>
        <v>7</v>
      </c>
      <c r="K4" s="9">
        <f>IFERROR(VLOOKUP(INDEX(Ответы_Forms!K$2:K$10,MATCH($A4,Ответы_Forms!$B$2:$B$10,0)),Шкала_Саати!$A$4:$B$12,2,FALSE),"")</f>
        <v>5</v>
      </c>
      <c r="L4" s="9">
        <f>IFERROR(VLOOKUP(INDEX(Ответы_Forms!L$2:L$10,MATCH($A4,Ответы_Forms!$B$2:$B$10,0)),Шкала_Саати!$A$4:$B$12,2,FALSE),"")</f>
        <v>0.14285714285714285</v>
      </c>
      <c r="M4" s="9">
        <f>IFERROR(VLOOKUP(INDEX(Ответы_Forms!M$2:M$10,MATCH($A4,Ответы_Forms!$B$2:$B$10,0)),Шкала_Саати!$A$4:$B$12,2,FALSE),"")</f>
        <v>1</v>
      </c>
      <c r="N4" s="9">
        <f>IFERROR(VLOOKUP(INDEX(Ответы_Forms!N$2:N$10,MATCH($A4,Ответы_Forms!$B$2:$B$10,0)),Шкала_Саати!$A$4:$B$12,2,FALSE),"")</f>
        <v>0.33333333333333331</v>
      </c>
      <c r="O4" s="9">
        <f>IFERROR(VLOOKUP(INDEX(Ответы_Forms!O$2:O$10,MATCH($A4,Ответы_Forms!$B$2:$B$10,0)),Шкала_Саати!$A$4:$B$12,2,FALSE),"")</f>
        <v>7</v>
      </c>
      <c r="P4" s="9">
        <f>IFERROR(VLOOKUP(INDEX(Ответы_Forms!P$2:P$10,MATCH($A4,Ответы_Forms!$B$2:$B$10,0)),Шкала_Саати!$A$4:$B$12,2,FALSE),"")</f>
        <v>7</v>
      </c>
      <c r="Q4" s="9">
        <f>IFERROR(VLOOKUP(INDEX(Ответы_Forms!Q$2:Q$10,MATCH($A4,Ответы_Forms!$B$2:$B$10,0)),Шкала_Саати!$A$4:$B$12,2,FALSE),"")</f>
        <v>1</v>
      </c>
      <c r="R4" s="9">
        <f>IFERROR(VLOOKUP(INDEX(Ответы_Forms!R$2:R$10,MATCH($A4,Ответы_Forms!$B$2:$B$10,0)),Шкала_Саати!$A$4:$B$12,2,FALSE),"")</f>
        <v>0.2</v>
      </c>
      <c r="S4" s="9">
        <f>IFERROR(VLOOKUP(INDEX(Ответы_Forms!S$2:S$10,MATCH($A4,Ответы_Forms!$B$2:$B$10,0)),Шкала_Саати!$A$4:$B$12,2,FALSE),"")</f>
        <v>0.33333333333333331</v>
      </c>
      <c r="T4" s="9">
        <f>IFERROR(VLOOKUP(INDEX(Ответы_Forms!T$2:T$10,MATCH($A4,Ответы_Forms!$B$2:$B$10,0)),Шкала_Саати!$A$4:$B$12,2,FALSE),"")</f>
        <v>3</v>
      </c>
      <c r="U4" s="9">
        <f>IFERROR(VLOOKUP(INDEX(Ответы_Forms!U$2:U$10,MATCH($A4,Ответы_Forms!$B$2:$B$10,0)),Шкала_Саати!$A$4:$B$12,2,FALSE),"")</f>
        <v>3</v>
      </c>
      <c r="V4" s="9">
        <f>IFERROR(VLOOKUP(INDEX(Ответы_Forms!V$2:V$10,MATCH($A4,Ответы_Forms!$B$2:$B$10,0)),Шкала_Саати!$A$4:$B$12,2,FALSE),"")</f>
        <v>3</v>
      </c>
      <c r="W4" s="9">
        <f>IFERROR(VLOOKUP(INDEX(Ответы_Forms!W$2:W$10,MATCH($A4,Ответы_Forms!$B$2:$B$10,0)),Шкала_Саати!$A$4:$B$12,2,FALSE),"")</f>
        <v>7</v>
      </c>
      <c r="X4" s="9">
        <f>IFERROR(VLOOKUP(INDEX(Ответы_Forms!X$2:X$10,MATCH($A4,Ответы_Forms!$B$2:$B$10,0)),Шкала_Саати!$A$4:$B$12,2,FALSE),"")</f>
        <v>1</v>
      </c>
      <c r="Y4" s="9">
        <f>IFERROR(VLOOKUP(INDEX(Ответы_Forms!Y$2:Y$10,MATCH($A4,Ответы_Forms!$B$2:$B$10,0)),Шкала_Саати!$A$4:$B$12,2,FALSE),"")</f>
        <v>5</v>
      </c>
      <c r="Z4" s="9">
        <f>IFERROR(VLOOKUP(INDEX(Ответы_Forms!Z$2:Z$10,MATCH($A4,Ответы_Forms!$B$2:$B$10,0)),Шкала_Саати!$A$4:$B$12,2,FALSE),"")</f>
        <v>3</v>
      </c>
      <c r="AA4" s="9">
        <f>IFERROR(VLOOKUP(INDEX(Ответы_Forms!AA$2:AA$10,MATCH($A4,Ответы_Forms!$B$2:$B$10,0)),Шкала_Саати!$A$4:$B$12,2,FALSE),"")</f>
        <v>5</v>
      </c>
      <c r="AB4" s="9">
        <f>IFERROR(VLOOKUP(INDEX(Ответы_Forms!AB$2:AB$10,MATCH($A4,Ответы_Forms!$B$2:$B$10,0)),Шкала_Саати!$A$4:$B$12,2,FALSE),"")</f>
        <v>3</v>
      </c>
      <c r="AC4" s="9">
        <f>IFERROR(VLOOKUP(INDEX(Ответы_Forms!AC$2:AC$10,MATCH($A4,Ответы_Forms!$B$2:$B$10,0)),Шкала_Саати!$A$4:$B$12,2,FALSE),"")</f>
        <v>3</v>
      </c>
      <c r="AD4" s="9">
        <f>IFERROR(VLOOKUP(INDEX(Ответы_Forms!AD$2:AD$10,MATCH($A4,Ответы_Forms!$B$2:$B$10,0)),Шкала_Саати!$A$4:$B$12,2,FALSE),"")</f>
        <v>5</v>
      </c>
      <c r="AE4" s="9">
        <f>IFERROR(VLOOKUP(INDEX(Ответы_Forms!AE$2:AE$10,MATCH($A4,Ответы_Forms!$B$2:$B$10,0)),Шкала_Саати!$A$4:$B$12,2,FALSE),"")</f>
        <v>0.1111111111111111</v>
      </c>
      <c r="AF4" s="9">
        <f>IFERROR(VLOOKUP(INDEX(Ответы_Forms!AF$2:AF$10,MATCH($A4,Ответы_Forms!$B$2:$B$10,0)),Шкала_Саати!$A$4:$B$12,2,FALSE),"")</f>
        <v>5</v>
      </c>
      <c r="AG4" s="9">
        <f>IFERROR(VLOOKUP(INDEX(Ответы_Forms!AG$2:AG$10,MATCH($A4,Ответы_Forms!$B$2:$B$10,0)),Шкала_Саати!$A$4:$B$12,2,FALSE),"")</f>
        <v>0.14285714285714285</v>
      </c>
      <c r="AH4" s="9">
        <f>IFERROR(VLOOKUP(INDEX(Ответы_Forms!AH$2:AH$10,MATCH($A4,Ответы_Forms!$B$2:$B$10,0)),Шкала_Саати!$A$4:$B$12,2,FALSE),"")</f>
        <v>0.2</v>
      </c>
      <c r="AI4" s="9">
        <f>IFERROR(VLOOKUP(INDEX(Ответы_Forms!AI$2:AI$10,MATCH($A4,Ответы_Forms!$B$2:$B$10,0)),Шкала_Саати!$A$4:$B$12,2,FALSE),"")</f>
        <v>3</v>
      </c>
      <c r="AJ4" s="9">
        <f>IFERROR(VLOOKUP(INDEX(Ответы_Forms!AJ$2:AJ$10,MATCH($A4,Ответы_Forms!$B$2:$B$10,0)),Шкала_Саати!$A$4:$B$12,2,FALSE),"")</f>
        <v>5</v>
      </c>
      <c r="AK4" s="9">
        <f>IFERROR(VLOOKUP(INDEX(Ответы_Forms!AK$2:AK$10,MATCH($A4,Ответы_Forms!$B$2:$B$10,0)),Шкала_Саати!$A$4:$B$12,2,FALSE),"")</f>
        <v>9</v>
      </c>
      <c r="AL4" s="9">
        <f>IFERROR(VLOOKUP(INDEX(Ответы_Forms!AL$2:AL$10,MATCH($A4,Ответы_Forms!$B$2:$B$10,0)),Шкала_Саати!$A$4:$B$12,2,FALSE),"")</f>
        <v>5</v>
      </c>
      <c r="AM4" s="9">
        <f>IFERROR(VLOOKUP(INDEX(Ответы_Forms!AM$2:AM$10,MATCH($A4,Ответы_Forms!$B$2:$B$10,0)),Шкала_Саати!$A$4:$B$12,2,FALSE),"")</f>
        <v>3</v>
      </c>
      <c r="AN4" s="9">
        <f>IFERROR(VLOOKUP(INDEX(Ответы_Forms!AN$2:AN$10,MATCH($A4,Ответы_Forms!$B$2:$B$10,0)),Шкала_Саати!$A$4:$B$12,2,FALSE),"")</f>
        <v>0.33333333333333331</v>
      </c>
      <c r="AO4" s="9">
        <f>IFERROR(VLOOKUP(INDEX(Ответы_Forms!AO$2:AO$10,MATCH($A4,Ответы_Forms!$B$2:$B$10,0)),Шкала_Саати!$A$4:$B$12,2,FALSE),"")</f>
        <v>0.14285714285714285</v>
      </c>
      <c r="AP4" s="9">
        <f>IFERROR(VLOOKUP(INDEX(Ответы_Forms!AP$2:AP$10,MATCH($A4,Ответы_Forms!$B$2:$B$10,0)),Шкала_Саати!$A$4:$B$12,2,FALSE),"")</f>
        <v>0.2</v>
      </c>
      <c r="AQ4" s="9">
        <f>IFERROR(VLOOKUP(INDEX(Ответы_Forms!AQ$2:AQ$10,MATCH($A4,Ответы_Forms!$B$2:$B$10,0)),Шкала_Саати!$A$4:$B$12,2,FALSE),"")</f>
        <v>0.2</v>
      </c>
      <c r="AR4" s="9">
        <f>IFERROR(VLOOKUP(INDEX(Ответы_Forms!AR$2:AR$10,MATCH($A4,Ответы_Forms!$B$2:$B$10,0)),Шкала_Саати!$A$4:$B$12,2,FALSE),"")</f>
        <v>1</v>
      </c>
      <c r="AS4" s="9">
        <f>IFERROR(VLOOKUP(INDEX(Ответы_Forms!AS$2:AS$10,MATCH($A4,Ответы_Forms!$B$2:$B$10,0)),Шкала_Саати!$A$4:$B$12,2,FALSE),"")</f>
        <v>3</v>
      </c>
      <c r="AT4" s="9">
        <f>IFERROR(VLOOKUP(INDEX(Ответы_Forms!AT$2:AT$10,MATCH($A4,Ответы_Forms!$B$2:$B$10,0)),Шкала_Саати!$A$4:$B$12,2,FALSE),"")</f>
        <v>7</v>
      </c>
      <c r="AU4" s="9">
        <f>IFERROR(VLOOKUP(INDEX(Ответы_Forms!AU$2:AU$10,MATCH($A4,Ответы_Forms!$B$2:$B$10,0)),Шкала_Саати!$A$4:$B$12,2,FALSE),"")</f>
        <v>7</v>
      </c>
      <c r="AV4" s="9">
        <f>IFERROR(VLOOKUP(INDEX(Ответы_Forms!AV$2:AV$10,MATCH($A4,Ответы_Forms!$B$2:$B$10,0)),Шкала_Саати!$A$4:$B$12,2,FALSE),"")</f>
        <v>0.14285714285714285</v>
      </c>
      <c r="AW4" s="9">
        <f>IFERROR(VLOOKUP(INDEX(Ответы_Forms!AW$2:AW$10,MATCH($A4,Ответы_Forms!$B$2:$B$10,0)),Шкала_Саати!$A$4:$B$12,2,FALSE),"")</f>
        <v>3</v>
      </c>
      <c r="AX4" s="9">
        <f>IFERROR(VLOOKUP(INDEX(Ответы_Forms!AX$2:AX$10,MATCH($A4,Ответы_Forms!$B$2:$B$10,0)),Шкала_Саати!$A$4:$B$12,2,FALSE),"")</f>
        <v>7</v>
      </c>
      <c r="AY4" s="9">
        <f>IFERROR(VLOOKUP(INDEX(Ответы_Forms!AY$2:AY$10,MATCH($A4,Ответы_Forms!$B$2:$B$10,0)),Шкала_Саати!$A$4:$B$12,2,FALSE),"")</f>
        <v>9</v>
      </c>
      <c r="AZ4" s="9">
        <f>IFERROR(VLOOKUP(INDEX(Ответы_Forms!AZ$2:AZ$10,MATCH($A4,Ответы_Forms!$B$2:$B$10,0)),Шкала_Саати!$A$4:$B$12,2,FALSE),"")</f>
        <v>9</v>
      </c>
      <c r="BA4" s="9">
        <f>IFERROR(VLOOKUP(INDEX(Ответы_Forms!BA$2:BA$10,MATCH($A4,Ответы_Forms!$B$2:$B$10,0)),Шкала_Саати!$A$4:$B$12,2,FALSE),"")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0"/>
  <sheetViews>
    <sheetView zoomScale="134" workbookViewId="0">
      <pane ySplit="2" topLeftCell="A46" activePane="bottomLeft" state="frozen"/>
      <selection pane="bottomLeft" activeCell="A54" sqref="A54:I54"/>
    </sheetView>
  </sheetViews>
  <sheetFormatPr baseColWidth="10" defaultColWidth="8.83203125" defaultRowHeight="14"/>
  <cols>
    <col min="1" max="1" width="14" style="8" customWidth="1"/>
    <col min="2" max="7" width="11" style="8" customWidth="1"/>
    <col min="8" max="11" width="14" style="8" customWidth="1"/>
    <col min="12" max="16384" width="8.83203125" style="8"/>
  </cols>
  <sheetData>
    <row r="1" spans="1:11" ht="18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15" t="s">
        <v>103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16" t="s">
        <v>104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5">
      <c r="A5" s="5"/>
      <c r="B5" s="5" t="s">
        <v>105</v>
      </c>
      <c r="C5" s="5" t="s">
        <v>106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113</v>
      </c>
      <c r="K5" s="5" t="s">
        <v>114</v>
      </c>
    </row>
    <row r="6" spans="1:11" ht="15">
      <c r="A6" s="5" t="s">
        <v>105</v>
      </c>
      <c r="B6" s="9">
        <v>1</v>
      </c>
      <c r="C6" s="9">
        <f>Числовые_ответы!C2</f>
        <v>3</v>
      </c>
      <c r="D6" s="9">
        <f>Числовые_ответы!D2</f>
        <v>9</v>
      </c>
      <c r="E6" s="9">
        <f>Числовые_ответы!E2</f>
        <v>0.33333333333333331</v>
      </c>
      <c r="F6" s="9">
        <f>Числовые_ответы!F2</f>
        <v>3</v>
      </c>
      <c r="G6" s="9">
        <f>Числовые_ответы!G2</f>
        <v>5</v>
      </c>
      <c r="H6" s="9">
        <f t="shared" ref="H6:H11" si="0">IF(COUNT(B6:G6)&lt;6,"",PRODUCT(B6:G6)^(1/6))</f>
        <v>2.2649344008227019</v>
      </c>
      <c r="I6" s="9">
        <f>IF(H12="","",H6/H12)</f>
        <v>0.27713944229976362</v>
      </c>
      <c r="J6" s="9">
        <f t="shared" ref="J6:J11" si="1">IF(I6="","",B6*$I$6 + C6*$I$7 + D6*$I$8 + E6*$I$9 + F6*$I$10 + G6*$I$11)</f>
        <v>1.7869788322307931</v>
      </c>
      <c r="K6" s="9">
        <f t="shared" ref="K6:K11" si="2">IFERROR(J6/I6,"")</f>
        <v>6.4479412147258888</v>
      </c>
    </row>
    <row r="7" spans="1:11" ht="15">
      <c r="A7" s="5" t="s">
        <v>106</v>
      </c>
      <c r="B7" s="9">
        <f>IF(C6="","",1/C6)</f>
        <v>0.33333333333333331</v>
      </c>
      <c r="C7" s="9">
        <v>1</v>
      </c>
      <c r="D7" s="9">
        <f>Числовые_ответы!H2</f>
        <v>5</v>
      </c>
      <c r="E7" s="9">
        <f>Числовые_ответы!I2</f>
        <v>0.2</v>
      </c>
      <c r="F7" s="9">
        <f>Числовые_ответы!J2</f>
        <v>3</v>
      </c>
      <c r="G7" s="9">
        <f>Числовые_ответы!K2</f>
        <v>1</v>
      </c>
      <c r="H7" s="9">
        <f t="shared" si="0"/>
        <v>1</v>
      </c>
      <c r="I7" s="9">
        <f>IF(H12="","",H7/H12)</f>
        <v>0.12236091349890622</v>
      </c>
      <c r="J7" s="9">
        <f t="shared" si="1"/>
        <v>0.79298890046224046</v>
      </c>
      <c r="K7" s="9">
        <f t="shared" si="2"/>
        <v>6.4807370081405038</v>
      </c>
    </row>
    <row r="8" spans="1:11" ht="15">
      <c r="A8" s="5" t="s">
        <v>107</v>
      </c>
      <c r="B8" s="9">
        <f>IF(D6="","",1/D6)</f>
        <v>0.1111111111111111</v>
      </c>
      <c r="C8" s="9">
        <f>IF(D7="","",1/D7)</f>
        <v>0.2</v>
      </c>
      <c r="D8" s="9">
        <v>1</v>
      </c>
      <c r="E8" s="9">
        <f>Числовые_ответы!L2</f>
        <v>0.2</v>
      </c>
      <c r="F8" s="9">
        <f>Числовые_ответы!M2</f>
        <v>0.33333333333333331</v>
      </c>
      <c r="G8" s="9">
        <f>Числовые_ответы!N2</f>
        <v>0.33333333333333331</v>
      </c>
      <c r="H8" s="9">
        <f t="shared" si="0"/>
        <v>0.28114422176724974</v>
      </c>
      <c r="I8" s="9">
        <f>IF(H12="","",H8/H12)</f>
        <v>3.4401063800379751E-2</v>
      </c>
      <c r="J8" s="9">
        <f t="shared" si="1"/>
        <v>0.22575137263508663</v>
      </c>
      <c r="K8" s="9">
        <f t="shared" si="2"/>
        <v>6.5623369656549571</v>
      </c>
    </row>
    <row r="9" spans="1:11" ht="15">
      <c r="A9" s="5" t="s">
        <v>108</v>
      </c>
      <c r="B9" s="9">
        <f>IF(E6="","",1/E6)</f>
        <v>3</v>
      </c>
      <c r="C9" s="9">
        <f>IF(E7="","",1/E7)</f>
        <v>5</v>
      </c>
      <c r="D9" s="9">
        <f>IF(E8="","",1/E8)</f>
        <v>5</v>
      </c>
      <c r="E9" s="9">
        <v>1</v>
      </c>
      <c r="F9" s="9">
        <f>Числовые_ответы!O2</f>
        <v>5</v>
      </c>
      <c r="G9" s="9">
        <f>Числовые_ответы!P2</f>
        <v>3</v>
      </c>
      <c r="H9" s="9">
        <f t="shared" si="0"/>
        <v>3.2249680797272271</v>
      </c>
      <c r="I9" s="9">
        <f>IF(H12="","",H9/H12)</f>
        <v>0.39461004024023694</v>
      </c>
      <c r="J9" s="9">
        <f t="shared" si="1"/>
        <v>2.6801361797708516</v>
      </c>
      <c r="K9" s="9">
        <f t="shared" si="2"/>
        <v>6.7918600807500891</v>
      </c>
    </row>
    <row r="10" spans="1:11" ht="15">
      <c r="A10" s="5" t="s">
        <v>109</v>
      </c>
      <c r="B10" s="9">
        <f>IF(F6="","",1/F6)</f>
        <v>0.33333333333333331</v>
      </c>
      <c r="C10" s="9">
        <f>IF(F7="","",1/F7)</f>
        <v>0.33333333333333331</v>
      </c>
      <c r="D10" s="9">
        <f>IF(F8="","",1/F8)</f>
        <v>3</v>
      </c>
      <c r="E10" s="9">
        <f>IF(F9="","",1/F9)</f>
        <v>0.2</v>
      </c>
      <c r="F10" s="9">
        <v>1</v>
      </c>
      <c r="G10" s="9">
        <f>Числовые_ответы!Q2</f>
        <v>1</v>
      </c>
      <c r="H10" s="9">
        <f t="shared" si="0"/>
        <v>0.63677321947317056</v>
      </c>
      <c r="I10" s="9">
        <f>IF(H12="","",H10/H12)</f>
        <v>7.791615282637665E-2</v>
      </c>
      <c r="J10" s="9">
        <f t="shared" si="1"/>
        <v>0.48678052487612344</v>
      </c>
      <c r="K10" s="9">
        <f t="shared" si="2"/>
        <v>6.2474917872399818</v>
      </c>
    </row>
    <row r="11" spans="1:11" ht="15">
      <c r="A11" s="5" t="s">
        <v>110</v>
      </c>
      <c r="B11" s="9">
        <f>IF(G6="","",1/G6)</f>
        <v>0.2</v>
      </c>
      <c r="C11" s="9">
        <f>IF(G7="","",1/G7)</f>
        <v>1</v>
      </c>
      <c r="D11" s="9">
        <f>IF(G8="","",1/G8)</f>
        <v>3</v>
      </c>
      <c r="E11" s="9">
        <f>IF(G9="","",1/G9)</f>
        <v>0.33333333333333331</v>
      </c>
      <c r="F11" s="9">
        <f>IF(G10="","",1/G10)</f>
        <v>1</v>
      </c>
      <c r="G11" s="9">
        <v>1</v>
      </c>
      <c r="H11" s="9">
        <f t="shared" si="0"/>
        <v>0.76472449133173004</v>
      </c>
      <c r="I11" s="9">
        <f>IF(H12="","",H11/H12)</f>
        <v>9.3572387334336884E-2</v>
      </c>
      <c r="J11" s="9">
        <f t="shared" si="1"/>
        <v>0.58401721360079073</v>
      </c>
      <c r="K11" s="9">
        <f t="shared" si="2"/>
        <v>6.2413413854033681</v>
      </c>
    </row>
    <row r="12" spans="1:11" ht="15">
      <c r="A12" s="3"/>
      <c r="B12" s="17"/>
      <c r="C12" s="17"/>
      <c r="D12" s="17"/>
      <c r="E12" s="17"/>
      <c r="F12" s="17"/>
      <c r="G12" s="17"/>
      <c r="H12" s="9">
        <f>IF(COUNT(H6:H11)&lt;6,"",SUM(H6:H11))</f>
        <v>8.172544413122079</v>
      </c>
      <c r="I12" s="9">
        <f>IF(COUNT(I6:I11)&lt;6,"",SUM(I6:I11))</f>
        <v>1</v>
      </c>
      <c r="J12" s="18" t="s">
        <v>115</v>
      </c>
      <c r="K12" s="9">
        <f>IF(COUNT(K6:K11)&lt;6,"",AVERAGE(K6:K11))</f>
        <v>6.4619514069857971</v>
      </c>
    </row>
    <row r="13" spans="1:11" ht="15">
      <c r="A13" s="3"/>
      <c r="B13" s="17"/>
      <c r="C13" s="17"/>
      <c r="D13" s="17"/>
      <c r="E13" s="17"/>
      <c r="F13" s="17"/>
      <c r="G13" s="17"/>
      <c r="H13" s="9"/>
      <c r="I13" s="9"/>
      <c r="J13" s="18" t="s">
        <v>116</v>
      </c>
      <c r="K13" s="9">
        <f>IF(K12="","",(K12-6)/(6-1))</f>
        <v>9.2390281397159407E-2</v>
      </c>
    </row>
    <row r="14" spans="1:11" ht="15">
      <c r="A14" s="3"/>
      <c r="B14" s="17"/>
      <c r="C14" s="17"/>
      <c r="D14" s="17"/>
      <c r="E14" s="17"/>
      <c r="F14" s="17"/>
      <c r="G14" s="17"/>
      <c r="H14" s="9"/>
      <c r="I14" s="9"/>
      <c r="J14" s="18" t="s">
        <v>14</v>
      </c>
      <c r="K14" s="9">
        <f>VLOOKUP(6,Шкала_Саати!$D$4:$E$13,2,FALSE)</f>
        <v>1.24</v>
      </c>
    </row>
    <row r="15" spans="1:11" ht="15">
      <c r="A15" s="3"/>
      <c r="B15" s="17"/>
      <c r="C15" s="17"/>
      <c r="D15" s="17"/>
      <c r="E15" s="17"/>
      <c r="F15" s="17"/>
      <c r="G15" s="17"/>
      <c r="H15" s="9"/>
      <c r="I15" s="9"/>
      <c r="J15" s="18" t="s">
        <v>117</v>
      </c>
      <c r="K15" s="9">
        <f>IF(COUNT(K13:K14)&lt;2,"",K13/K14)</f>
        <v>7.4508291449322098E-2</v>
      </c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16" t="s">
        <v>118</v>
      </c>
      <c r="B18" s="16"/>
      <c r="C18" s="16"/>
      <c r="D18" s="16"/>
      <c r="E18" s="16"/>
      <c r="F18" s="16"/>
      <c r="G18" s="16"/>
      <c r="H18" s="16"/>
      <c r="I18" s="16"/>
      <c r="J18" s="3"/>
      <c r="K18" s="3"/>
    </row>
    <row r="19" spans="1:11" ht="15">
      <c r="A19" s="5"/>
      <c r="B19" s="5" t="s">
        <v>119</v>
      </c>
      <c r="C19" s="5" t="s">
        <v>120</v>
      </c>
      <c r="D19" s="5" t="s">
        <v>121</v>
      </c>
      <c r="E19" s="5" t="s">
        <v>122</v>
      </c>
      <c r="F19" s="5" t="s">
        <v>111</v>
      </c>
      <c r="G19" s="5" t="s">
        <v>112</v>
      </c>
      <c r="H19" s="5" t="s">
        <v>113</v>
      </c>
      <c r="I19" s="5" t="s">
        <v>114</v>
      </c>
      <c r="J19" s="3"/>
      <c r="K19" s="3"/>
    </row>
    <row r="20" spans="1:11" ht="15">
      <c r="A20" s="5" t="s">
        <v>119</v>
      </c>
      <c r="B20" s="9">
        <v>1</v>
      </c>
      <c r="C20" s="9">
        <f>Числовые_ответы!R2</f>
        <v>0.2</v>
      </c>
      <c r="D20" s="9">
        <f>Числовые_ответы!S2</f>
        <v>0.33333333333333331</v>
      </c>
      <c r="E20" s="9">
        <f>Числовые_ответы!T2</f>
        <v>1</v>
      </c>
      <c r="F20" s="9">
        <f>IF(COUNT(B20:E20)&lt;4,"",PRODUCT(B20:E20)^(1/4))</f>
        <v>0.50813274815461473</v>
      </c>
      <c r="G20" s="9">
        <f>IF(F24="","",F20/F24)</f>
        <v>9.4211604894297446E-2</v>
      </c>
      <c r="H20" s="9">
        <f>IF(G20="","",B20*$G$20 + C20*$G$21 + D20*$G$22 + E20*$G$23)</f>
        <v>0.37866918559425311</v>
      </c>
      <c r="I20" s="9">
        <f>IFERROR(H20/G20,"")</f>
        <v>4.0193475742092328</v>
      </c>
      <c r="J20" s="3"/>
      <c r="K20" s="3"/>
    </row>
    <row r="21" spans="1:11" ht="15">
      <c r="A21" s="5" t="s">
        <v>120</v>
      </c>
      <c r="B21" s="9">
        <f>IF(C20="","",1/C20)</f>
        <v>5</v>
      </c>
      <c r="C21" s="9">
        <v>1</v>
      </c>
      <c r="D21" s="9">
        <f>Числовые_ответы!U2</f>
        <v>3</v>
      </c>
      <c r="E21" s="9">
        <f>Числовые_ответы!V2</f>
        <v>5</v>
      </c>
      <c r="F21" s="9">
        <f>IF(COUNT(B21:E21)&lt;4,"",PRODUCT(B21:E21)^(1/4))</f>
        <v>2.9428309563827115</v>
      </c>
      <c r="G21" s="9">
        <f>IF(F24="","",F21/F24)</f>
        <v>0.54562282856265387</v>
      </c>
      <c r="H21" s="9">
        <f>IF(G21="","",B21*$G$20 + C21*$G$21 + D21*$G$22 + E21*$G$23)</f>
        <v>2.2630110310825131</v>
      </c>
      <c r="I21" s="9">
        <f>IFERROR(H21/G21,"")</f>
        <v>4.1475739514858869</v>
      </c>
      <c r="J21" s="3"/>
      <c r="K21" s="3"/>
    </row>
    <row r="22" spans="1:11" ht="15">
      <c r="A22" s="5" t="s">
        <v>121</v>
      </c>
      <c r="B22" s="9">
        <f>IF(D20="","",1/D20)</f>
        <v>3</v>
      </c>
      <c r="C22" s="9">
        <f>IF(D21="","",1/D21)</f>
        <v>0.33333333333333331</v>
      </c>
      <c r="D22" s="9">
        <v>1</v>
      </c>
      <c r="E22" s="9">
        <f>Числовые_ответы!W2</f>
        <v>5</v>
      </c>
      <c r="F22" s="9">
        <f>IF(COUNT(B22:E22)&lt;4,"",PRODUCT(B22:E22)^(1/4))</f>
        <v>1.4953487812212205</v>
      </c>
      <c r="G22" s="9">
        <f>IF(F24="","",F22/F24)</f>
        <v>0.27724882733343553</v>
      </c>
      <c r="H22" s="9">
        <f>IF(G22="","",B22*$G$20 + C22*$G$21 + D22*$G$22 + E22*$G$23)</f>
        <v>1.1563416142519447</v>
      </c>
      <c r="I22" s="9">
        <f>IFERROR(H22/G22,"")</f>
        <v>4.1707718852179712</v>
      </c>
      <c r="J22" s="3"/>
      <c r="K22" s="3"/>
    </row>
    <row r="23" spans="1:11" ht="15">
      <c r="A23" s="5" t="s">
        <v>122</v>
      </c>
      <c r="B23" s="9">
        <f>IF(E20="","",1/E20)</f>
        <v>1</v>
      </c>
      <c r="C23" s="9">
        <f>IF(E21="","",1/E21)</f>
        <v>0.2</v>
      </c>
      <c r="D23" s="9">
        <f>IF(E22="","",1/E22)</f>
        <v>0.2</v>
      </c>
      <c r="E23" s="9">
        <v>1</v>
      </c>
      <c r="F23" s="9">
        <f>IF(COUNT(B23:E23)&lt;4,"",PRODUCT(B23:E23)^(1/4))</f>
        <v>0.44721359549995798</v>
      </c>
      <c r="G23" s="9">
        <f>IF(F24="","",F23/F24)</f>
        <v>8.2916739209613094E-2</v>
      </c>
      <c r="H23" s="9">
        <f>IF(G23="","",B23*$G$20 + C23*$G$21 + D23*$G$22 + E23*$G$23)</f>
        <v>0.34170267528312848</v>
      </c>
      <c r="I23" s="9">
        <f>IFERROR(H23/G23,"")</f>
        <v>4.1210336843964139</v>
      </c>
      <c r="J23" s="3"/>
      <c r="K23" s="3"/>
    </row>
    <row r="24" spans="1:11" ht="15">
      <c r="A24" s="3"/>
      <c r="B24" s="17"/>
      <c r="C24" s="17"/>
      <c r="D24" s="17"/>
      <c r="E24" s="17"/>
      <c r="F24" s="9">
        <f>IF(COUNT(F20:F23)&lt;4,"",SUM(F20:F23))</f>
        <v>5.3935260812585053</v>
      </c>
      <c r="G24" s="9">
        <f>IF(COUNT(G20:G23)&lt;4,"",SUM(G20:G23))</f>
        <v>1</v>
      </c>
      <c r="H24" s="18" t="s">
        <v>115</v>
      </c>
      <c r="I24" s="9">
        <f>IF(COUNT(I20:I23)&lt;4,"",AVERAGE(I20:I23))</f>
        <v>4.1146817738273764</v>
      </c>
      <c r="J24" s="3"/>
      <c r="K24" s="3"/>
    </row>
    <row r="25" spans="1:11" ht="15">
      <c r="A25" s="3"/>
      <c r="B25" s="17"/>
      <c r="C25" s="17"/>
      <c r="D25" s="17"/>
      <c r="E25" s="17"/>
      <c r="F25" s="9"/>
      <c r="G25" s="9"/>
      <c r="H25" s="18" t="s">
        <v>116</v>
      </c>
      <c r="I25" s="9">
        <f>IF(I24="","",(I24-4)/(4-1))</f>
        <v>3.8227257942458813E-2</v>
      </c>
      <c r="J25" s="3"/>
      <c r="K25" s="3"/>
    </row>
    <row r="26" spans="1:11" ht="15">
      <c r="A26" s="3"/>
      <c r="B26" s="17"/>
      <c r="C26" s="17"/>
      <c r="D26" s="17"/>
      <c r="E26" s="17"/>
      <c r="F26" s="9"/>
      <c r="G26" s="9"/>
      <c r="H26" s="18" t="s">
        <v>14</v>
      </c>
      <c r="I26" s="9">
        <f>VLOOKUP(4,Шкала_Саати!$D$4:$E$13,2,FALSE)</f>
        <v>0.9</v>
      </c>
      <c r="J26" s="3"/>
      <c r="K26" s="3"/>
    </row>
    <row r="27" spans="1:11" ht="15">
      <c r="A27" s="3"/>
      <c r="B27" s="17"/>
      <c r="C27" s="17"/>
      <c r="D27" s="17"/>
      <c r="E27" s="17"/>
      <c r="F27" s="9"/>
      <c r="G27" s="9"/>
      <c r="H27" s="18" t="s">
        <v>117</v>
      </c>
      <c r="I27" s="9">
        <f>IF(COUNT(I25:I26)&lt;2,"",I25/I26)</f>
        <v>4.2474731047176459E-2</v>
      </c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16" t="s">
        <v>123</v>
      </c>
      <c r="B30" s="16"/>
      <c r="C30" s="16"/>
      <c r="D30" s="16"/>
      <c r="E30" s="16"/>
      <c r="F30" s="16"/>
      <c r="G30" s="16"/>
      <c r="H30" s="16"/>
      <c r="I30" s="16"/>
      <c r="J30" s="3"/>
      <c r="K30" s="3"/>
    </row>
    <row r="31" spans="1:11" ht="15">
      <c r="A31" s="5"/>
      <c r="B31" s="5" t="s">
        <v>119</v>
      </c>
      <c r="C31" s="5" t="s">
        <v>120</v>
      </c>
      <c r="D31" s="5" t="s">
        <v>121</v>
      </c>
      <c r="E31" s="5" t="s">
        <v>122</v>
      </c>
      <c r="F31" s="5" t="s">
        <v>111</v>
      </c>
      <c r="G31" s="5" t="s">
        <v>112</v>
      </c>
      <c r="H31" s="5" t="s">
        <v>113</v>
      </c>
      <c r="I31" s="5" t="s">
        <v>114</v>
      </c>
      <c r="J31" s="3"/>
      <c r="K31" s="3"/>
    </row>
    <row r="32" spans="1:11" ht="15">
      <c r="A32" s="5" t="s">
        <v>119</v>
      </c>
      <c r="B32" s="9">
        <v>1</v>
      </c>
      <c r="C32" s="9">
        <f>Числовые_ответы!X2</f>
        <v>0.33333333333333331</v>
      </c>
      <c r="D32" s="9">
        <f>Числовые_ответы!Y2</f>
        <v>1</v>
      </c>
      <c r="E32" s="9">
        <f>Числовые_ответы!Z2</f>
        <v>3</v>
      </c>
      <c r="F32" s="9">
        <f>IF(COUNT(B32:E32)&lt;4,"",PRODUCT(B32:E32)^(1/4))</f>
        <v>1</v>
      </c>
      <c r="G32" s="9">
        <f>IF(F36="","",F32/F36)</f>
        <v>0.21660526213134063</v>
      </c>
      <c r="H32" s="9">
        <f>IF(G32="","",B32*$G$32 + C32*$G$33 + D32*$G$34 + E32*$G$35)</f>
        <v>0.92094539706421785</v>
      </c>
      <c r="I32" s="9">
        <f>IFERROR(H32/G32,"")</f>
        <v>4.2517221788720629</v>
      </c>
      <c r="J32" s="3"/>
      <c r="K32" s="3"/>
    </row>
    <row r="33" spans="1:11" ht="15">
      <c r="A33" s="5" t="s">
        <v>120</v>
      </c>
      <c r="B33" s="9">
        <f>IF(C32="","",1/C32)</f>
        <v>3</v>
      </c>
      <c r="C33" s="9">
        <v>1</v>
      </c>
      <c r="D33" s="9">
        <f>Числовые_ответы!AA2</f>
        <v>3</v>
      </c>
      <c r="E33" s="9">
        <f>Числовые_ответы!AB2</f>
        <v>3</v>
      </c>
      <c r="F33" s="9">
        <f>IF(COUNT(B33:E33)&lt;4,"",PRODUCT(B33:E33)^(1/4))</f>
        <v>2.2795070569547775</v>
      </c>
      <c r="G33" s="9">
        <f>IF(F36="","",F33/F36)</f>
        <v>0.49375322360193041</v>
      </c>
      <c r="H33" s="9">
        <f>IF(G33="","",B33*$G$32 + C33*$G$33 + D33*$G$34 + E33*$G$35)</f>
        <v>2.0124935527961396</v>
      </c>
      <c r="I33" s="9">
        <f>IFERROR(H33/G33,"")</f>
        <v>4.075909698604085</v>
      </c>
      <c r="J33" s="3"/>
      <c r="K33" s="3"/>
    </row>
    <row r="34" spans="1:11" ht="15">
      <c r="A34" s="5" t="s">
        <v>121</v>
      </c>
      <c r="B34" s="9">
        <f>IF(D32="","",1/D32)</f>
        <v>1</v>
      </c>
      <c r="C34" s="9">
        <f>IF(D33="","",1/D33)</f>
        <v>0.33333333333333331</v>
      </c>
      <c r="D34" s="9">
        <v>1</v>
      </c>
      <c r="E34" s="9">
        <f>Числовые_ответы!AC2</f>
        <v>1</v>
      </c>
      <c r="F34" s="9">
        <f>IF(COUNT(B34:E34)&lt;4,"",PRODUCT(B34:E34)^(1/4))</f>
        <v>0.75983568565159254</v>
      </c>
      <c r="G34" s="9">
        <f>IF(F36="","",F34/F36)</f>
        <v>0.16458440786731016</v>
      </c>
      <c r="H34" s="9">
        <f>IF(G34="","",B34*$G$32 + C34*$G$33 + D34*$G$34 + E34*$G$35)</f>
        <v>0.67083118426538002</v>
      </c>
      <c r="I34" s="9">
        <f>IFERROR(H34/G34,"")</f>
        <v>4.0759096986040859</v>
      </c>
      <c r="J34" s="3"/>
      <c r="K34" s="3"/>
    </row>
    <row r="35" spans="1:11" ht="15">
      <c r="A35" s="5" t="s">
        <v>122</v>
      </c>
      <c r="B35" s="9">
        <f>IF(E32="","",1/E32)</f>
        <v>0.33333333333333331</v>
      </c>
      <c r="C35" s="9">
        <f>IF(E33="","",1/E33)</f>
        <v>0.33333333333333331</v>
      </c>
      <c r="D35" s="9">
        <f>IF(E34="","",1/E34)</f>
        <v>1</v>
      </c>
      <c r="E35" s="9">
        <v>1</v>
      </c>
      <c r="F35" s="9">
        <f>IF(COUNT(B35:E35)&lt;4,"",PRODUCT(B35:E35)^(1/4))</f>
        <v>0.57735026918962573</v>
      </c>
      <c r="G35" s="9">
        <f>IF(F36="","",F35/F36)</f>
        <v>0.12505710639941897</v>
      </c>
      <c r="H35" s="9">
        <f>IF(G35="","",B35*$G$32 + C35*$G$33 + D35*$G$34 + E35*$G$35)</f>
        <v>0.52642767617781949</v>
      </c>
      <c r="I35" s="9">
        <f>IFERROR(H35/G35,"")</f>
        <v>4.2094982950946109</v>
      </c>
      <c r="J35" s="3"/>
      <c r="K35" s="3"/>
    </row>
    <row r="36" spans="1:11" ht="15">
      <c r="A36" s="3"/>
      <c r="B36" s="17"/>
      <c r="C36" s="17"/>
      <c r="D36" s="17"/>
      <c r="E36" s="17"/>
      <c r="F36" s="9">
        <f>IF(COUNT(F32:F35)&lt;4,"",SUM(F32:F35))</f>
        <v>4.616693011795995</v>
      </c>
      <c r="G36" s="9">
        <f>IF(COUNT(G32:G35)&lt;4,"",SUM(G32:G35))</f>
        <v>1.0000000000000002</v>
      </c>
      <c r="H36" s="18" t="s">
        <v>115</v>
      </c>
      <c r="I36" s="9">
        <f>IF(COUNT(I32:I35)&lt;4,"",AVERAGE(I32:I35))</f>
        <v>4.1532599677937112</v>
      </c>
      <c r="J36" s="3"/>
      <c r="K36" s="3"/>
    </row>
    <row r="37" spans="1:11" ht="15">
      <c r="A37" s="3"/>
      <c r="B37" s="17"/>
      <c r="C37" s="17"/>
      <c r="D37" s="17"/>
      <c r="E37" s="17"/>
      <c r="F37" s="9"/>
      <c r="G37" s="9"/>
      <c r="H37" s="18" t="s">
        <v>116</v>
      </c>
      <c r="I37" s="9">
        <f>IF(I36="","",(I36-4)/(4-1))</f>
        <v>5.1086655931237068E-2</v>
      </c>
      <c r="J37" s="3"/>
      <c r="K37" s="3"/>
    </row>
    <row r="38" spans="1:11" ht="15">
      <c r="A38" s="3"/>
      <c r="B38" s="17"/>
      <c r="C38" s="17"/>
      <c r="D38" s="17"/>
      <c r="E38" s="17"/>
      <c r="F38" s="9"/>
      <c r="G38" s="9"/>
      <c r="H38" s="18" t="s">
        <v>14</v>
      </c>
      <c r="I38" s="9">
        <f>VLOOKUP(4,Шкала_Саати!$D$4:$E$13,2,FALSE)</f>
        <v>0.9</v>
      </c>
      <c r="J38" s="3"/>
      <c r="K38" s="3"/>
    </row>
    <row r="39" spans="1:11" ht="15">
      <c r="A39" s="3"/>
      <c r="B39" s="17"/>
      <c r="C39" s="17"/>
      <c r="D39" s="17"/>
      <c r="E39" s="17"/>
      <c r="F39" s="9"/>
      <c r="G39" s="9"/>
      <c r="H39" s="18" t="s">
        <v>117</v>
      </c>
      <c r="I39" s="9">
        <f>IF(COUNT(I37:I38)&lt;2,"",I37/I38)</f>
        <v>5.6762951034707854E-2</v>
      </c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16" t="s">
        <v>124</v>
      </c>
      <c r="B42" s="16"/>
      <c r="C42" s="16"/>
      <c r="D42" s="16"/>
      <c r="E42" s="16"/>
      <c r="F42" s="16"/>
      <c r="G42" s="16"/>
      <c r="H42" s="16"/>
      <c r="I42" s="16"/>
      <c r="J42" s="3"/>
      <c r="K42" s="3"/>
    </row>
    <row r="43" spans="1:11" ht="15">
      <c r="A43" s="5"/>
      <c r="B43" s="5" t="s">
        <v>119</v>
      </c>
      <c r="C43" s="5" t="s">
        <v>120</v>
      </c>
      <c r="D43" s="5" t="s">
        <v>121</v>
      </c>
      <c r="E43" s="5" t="s">
        <v>122</v>
      </c>
      <c r="F43" s="5" t="s">
        <v>111</v>
      </c>
      <c r="G43" s="5" t="s">
        <v>112</v>
      </c>
      <c r="H43" s="5" t="s">
        <v>113</v>
      </c>
      <c r="I43" s="5" t="s">
        <v>114</v>
      </c>
      <c r="J43" s="3"/>
      <c r="K43" s="3"/>
    </row>
    <row r="44" spans="1:11" ht="15">
      <c r="A44" s="5" t="s">
        <v>119</v>
      </c>
      <c r="B44" s="9">
        <v>1</v>
      </c>
      <c r="C44" s="9">
        <f>Числовые_ответы!AD2</f>
        <v>3</v>
      </c>
      <c r="D44" s="9">
        <f>Числовые_ответы!AE2</f>
        <v>1</v>
      </c>
      <c r="E44" s="9">
        <f>Числовые_ответы!AF2</f>
        <v>3</v>
      </c>
      <c r="F44" s="9">
        <f>IF(COUNT(B44:E44)&lt;4,"",PRODUCT(B44:E44)^(1/4))</f>
        <v>1.7320508075688774</v>
      </c>
      <c r="G44" s="9">
        <f>IF(F48="","",F44/F48)</f>
        <v>0.35742060625652339</v>
      </c>
      <c r="H44" s="9">
        <f>IF(G44="","",B44*$G$44 + C44*$G$45 + D44*$G$46 + E44*$G$47)</f>
        <v>1.4729423578805203</v>
      </c>
      <c r="I44" s="9">
        <f>IFERROR(H44/G44,"")</f>
        <v>4.121033684396413</v>
      </c>
      <c r="J44" s="3"/>
      <c r="K44" s="3"/>
    </row>
    <row r="45" spans="1:11" ht="15">
      <c r="A45" s="5" t="s">
        <v>120</v>
      </c>
      <c r="B45" s="9">
        <f>IF(C44="","",1/C44)</f>
        <v>0.33333333333333331</v>
      </c>
      <c r="C45" s="9">
        <v>1</v>
      </c>
      <c r="D45" s="9">
        <f>Числовые_ответы!AG2</f>
        <v>0.2</v>
      </c>
      <c r="E45" s="9">
        <f>Числовые_ответы!AH2</f>
        <v>0.33333333333333331</v>
      </c>
      <c r="F45" s="9">
        <f>IF(COUNT(B45:E45)&lt;4,"",PRODUCT(B45:E45)^(1/4))</f>
        <v>0.38609739509608965</v>
      </c>
      <c r="G45" s="9">
        <f>IF(F48="","",F45/F48)</f>
        <v>7.9673855077615027E-2</v>
      </c>
      <c r="H45" s="9">
        <f>IF(G45="","",B45*$G$44 + C45*$G$45 + D45*$G$46 + E45*$G$47)</f>
        <v>0.33230147474464788</v>
      </c>
      <c r="I45" s="9">
        <f>IFERROR(H45/G45,"")</f>
        <v>4.1707718852179712</v>
      </c>
      <c r="J45" s="3"/>
      <c r="K45" s="3"/>
    </row>
    <row r="46" spans="1:11" ht="15">
      <c r="A46" s="5" t="s">
        <v>121</v>
      </c>
      <c r="B46" s="9">
        <f>IF(D44="","",1/D44)</f>
        <v>1</v>
      </c>
      <c r="C46" s="9">
        <f>IF(D45="","",1/D45)</f>
        <v>5</v>
      </c>
      <c r="D46" s="9">
        <v>1</v>
      </c>
      <c r="E46" s="9">
        <f>Числовые_ответы!AI2</f>
        <v>3</v>
      </c>
      <c r="F46" s="9">
        <f>IF(COUNT(B46:E46)&lt;4,"",PRODUCT(B46:E46)^(1/4))</f>
        <v>1.9679896712654303</v>
      </c>
      <c r="G46" s="9">
        <f>IF(F48="","",F46/F48)</f>
        <v>0.40610821480321652</v>
      </c>
      <c r="H46" s="9">
        <f>IF(G46="","",B46*$G$44 + C46*$G$45 + D46*$G$46 + E46*$G$47)</f>
        <v>1.6322900680357504</v>
      </c>
      <c r="I46" s="9">
        <f>IFERROR(H46/G46,"")</f>
        <v>4.0193475742092328</v>
      </c>
      <c r="J46" s="3"/>
      <c r="K46" s="3"/>
    </row>
    <row r="47" spans="1:11" ht="15">
      <c r="A47" s="5" t="s">
        <v>122</v>
      </c>
      <c r="B47" s="9">
        <f>IF(E44="","",1/E44)</f>
        <v>0.33333333333333331</v>
      </c>
      <c r="C47" s="9">
        <f>IF(E45="","",1/E45)</f>
        <v>3</v>
      </c>
      <c r="D47" s="9">
        <f>IF(E46="","",1/E46)</f>
        <v>0.33333333333333331</v>
      </c>
      <c r="E47" s="9">
        <v>1</v>
      </c>
      <c r="F47" s="9">
        <f>IF(COUNT(B47:E47)&lt;4,"",PRODUCT(B47:E47)^(1/4))</f>
        <v>0.75983568565159254</v>
      </c>
      <c r="G47" s="9">
        <f>IF(F48="","",F47/F48)</f>
        <v>0.15679732386264514</v>
      </c>
      <c r="H47" s="9">
        <f>IF(G47="","",B47*$G$44 + C47*$G$45 + D47*$G$46 + E47*$G$47)</f>
        <v>0.65032849611540344</v>
      </c>
      <c r="I47" s="9">
        <f>IFERROR(H47/G47,"")</f>
        <v>4.1475739514858869</v>
      </c>
      <c r="J47" s="3"/>
      <c r="K47" s="3"/>
    </row>
    <row r="48" spans="1:11" ht="15">
      <c r="A48" s="3"/>
      <c r="B48" s="17"/>
      <c r="C48" s="17"/>
      <c r="D48" s="17"/>
      <c r="E48" s="17"/>
      <c r="F48" s="9">
        <f>IF(COUNT(F44:F47)&lt;4,"",SUM(F44:F47))</f>
        <v>4.8459735595819895</v>
      </c>
      <c r="G48" s="9">
        <f>IF(COUNT(G44:G47)&lt;4,"",SUM(G44:G47))</f>
        <v>1.0000000000000002</v>
      </c>
      <c r="H48" s="18" t="s">
        <v>115</v>
      </c>
      <c r="I48" s="9">
        <f>IF(COUNT(I44:I47)&lt;4,"",AVERAGE(I44:I47))</f>
        <v>4.1146817738273764</v>
      </c>
      <c r="J48" s="3"/>
      <c r="K48" s="3"/>
    </row>
    <row r="49" spans="1:11" ht="15">
      <c r="A49" s="3"/>
      <c r="B49" s="17"/>
      <c r="C49" s="17"/>
      <c r="D49" s="17"/>
      <c r="E49" s="17"/>
      <c r="F49" s="9"/>
      <c r="G49" s="9"/>
      <c r="H49" s="18" t="s">
        <v>116</v>
      </c>
      <c r="I49" s="9">
        <f>IF(I48="","",(I48-4)/(4-1))</f>
        <v>3.8227257942458813E-2</v>
      </c>
      <c r="J49" s="3"/>
      <c r="K49" s="3"/>
    </row>
    <row r="50" spans="1:11" ht="15">
      <c r="A50" s="3"/>
      <c r="B50" s="17"/>
      <c r="C50" s="17"/>
      <c r="D50" s="17"/>
      <c r="E50" s="17"/>
      <c r="F50" s="9"/>
      <c r="G50" s="9"/>
      <c r="H50" s="18" t="s">
        <v>14</v>
      </c>
      <c r="I50" s="9">
        <f>VLOOKUP(4,Шкала_Саати!$D$4:$E$13,2,FALSE)</f>
        <v>0.9</v>
      </c>
      <c r="J50" s="3"/>
      <c r="K50" s="3"/>
    </row>
    <row r="51" spans="1:11" ht="15">
      <c r="A51" s="3"/>
      <c r="B51" s="17"/>
      <c r="C51" s="17"/>
      <c r="D51" s="17"/>
      <c r="E51" s="17"/>
      <c r="F51" s="9"/>
      <c r="G51" s="9"/>
      <c r="H51" s="18" t="s">
        <v>117</v>
      </c>
      <c r="I51" s="9">
        <f>IF(COUNT(I49:I50)&lt;2,"",I49/I50)</f>
        <v>4.2474731047176459E-2</v>
      </c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16" t="s">
        <v>125</v>
      </c>
      <c r="B54" s="16"/>
      <c r="C54" s="16"/>
      <c r="D54" s="16"/>
      <c r="E54" s="16"/>
      <c r="F54" s="16"/>
      <c r="G54" s="16"/>
      <c r="H54" s="16"/>
      <c r="I54" s="16"/>
      <c r="J54" s="3"/>
      <c r="K54" s="3"/>
    </row>
    <row r="55" spans="1:11" ht="15">
      <c r="A55" s="5"/>
      <c r="B55" s="5" t="s">
        <v>119</v>
      </c>
      <c r="C55" s="5" t="s">
        <v>120</v>
      </c>
      <c r="D55" s="5" t="s">
        <v>121</v>
      </c>
      <c r="E55" s="5" t="s">
        <v>122</v>
      </c>
      <c r="F55" s="5" t="s">
        <v>111</v>
      </c>
      <c r="G55" s="5" t="s">
        <v>112</v>
      </c>
      <c r="H55" s="5" t="s">
        <v>113</v>
      </c>
      <c r="I55" s="5" t="s">
        <v>114</v>
      </c>
      <c r="J55" s="3"/>
      <c r="K55" s="3"/>
    </row>
    <row r="56" spans="1:11" ht="15">
      <c r="A56" s="5" t="s">
        <v>119</v>
      </c>
      <c r="B56" s="9">
        <v>1</v>
      </c>
      <c r="C56" s="9">
        <f>Числовые_ответы!AJ2</f>
        <v>0.33333333333333331</v>
      </c>
      <c r="D56" s="9">
        <f>Числовые_ответы!AK2</f>
        <v>3</v>
      </c>
      <c r="E56" s="9">
        <f>Числовые_ответы!AL2</f>
        <v>1</v>
      </c>
      <c r="F56" s="9">
        <f>IF(COUNT(B56:E56)&lt;4,"",PRODUCT(B56:E56)^(1/4))</f>
        <v>1</v>
      </c>
      <c r="G56" s="9">
        <f>IF(F60="","",F56/F60)</f>
        <v>0.22287518916473081</v>
      </c>
      <c r="H56" s="9">
        <f>IF(G56="","",B56*$G$56 + C56*$G$57 + D56*$G$58 + E56*$G$59)</f>
        <v>0.93819272880782334</v>
      </c>
      <c r="I56" s="9">
        <f>IFERROR(H56/G56,"")</f>
        <v>4.2094982950946109</v>
      </c>
      <c r="J56" s="3"/>
      <c r="K56" s="3"/>
    </row>
    <row r="57" spans="1:11" ht="15">
      <c r="A57" s="5" t="s">
        <v>120</v>
      </c>
      <c r="B57" s="9">
        <f>IF(C56="","",1/C56)</f>
        <v>3</v>
      </c>
      <c r="C57" s="9">
        <v>1</v>
      </c>
      <c r="D57" s="9">
        <f>Числовые_ответы!AM2</f>
        <v>3</v>
      </c>
      <c r="E57" s="9">
        <f>Числовые_ответы!AN2</f>
        <v>1</v>
      </c>
      <c r="F57" s="9">
        <f>IF(COUNT(B57:E57)&lt;4,"",PRODUCT(B57:E57)^(1/4))</f>
        <v>1.7320508075688774</v>
      </c>
      <c r="G57" s="9">
        <f>IF(F60="","",F57/F60)</f>
        <v>0.38603115137983829</v>
      </c>
      <c r="H57" s="9">
        <f>IF(G57="","",B57*$G$56 + C57*$G$57 + D57*$G$58 + E57*$G$59)</f>
        <v>1.641297208057177</v>
      </c>
      <c r="I57" s="9">
        <f>IFERROR(H57/G57,"")</f>
        <v>4.2517221788720629</v>
      </c>
      <c r="J57" s="3"/>
      <c r="K57" s="3"/>
    </row>
    <row r="58" spans="1:11" ht="15">
      <c r="A58" s="5" t="s">
        <v>121</v>
      </c>
      <c r="B58" s="9">
        <f>IF(D56="","",1/D56)</f>
        <v>0.33333333333333331</v>
      </c>
      <c r="C58" s="9">
        <f>IF(D57="","",1/D57)</f>
        <v>0.33333333333333331</v>
      </c>
      <c r="D58" s="9">
        <v>1</v>
      </c>
      <c r="E58" s="9">
        <f>Числовые_ответы!AO2</f>
        <v>0.33333333333333331</v>
      </c>
      <c r="F58" s="9">
        <f>IF(COUNT(B58:E58)&lt;4,"",PRODUCT(B58:E58)^(1/4))</f>
        <v>0.43869133765083079</v>
      </c>
      <c r="G58" s="9">
        <f>IF(F60="","",F58/F60)</f>
        <v>9.7773414863857711E-2</v>
      </c>
      <c r="H58" s="9">
        <f>IF(G58="","",B58*$G$56 + C58*$G$57 + D58*$G$58 + E58*$G$59)</f>
        <v>0.39851560990923846</v>
      </c>
      <c r="I58" s="9">
        <f>IFERROR(H58/G58,"")</f>
        <v>4.075909698604085</v>
      </c>
      <c r="J58" s="3"/>
      <c r="K58" s="3"/>
    </row>
    <row r="59" spans="1:11" ht="15">
      <c r="A59" s="5" t="s">
        <v>122</v>
      </c>
      <c r="B59" s="9">
        <f>IF(E56="","",1/E56)</f>
        <v>1</v>
      </c>
      <c r="C59" s="9">
        <f>IF(E57="","",1/E57)</f>
        <v>1</v>
      </c>
      <c r="D59" s="9">
        <f>IF(E58="","",1/E58)</f>
        <v>3</v>
      </c>
      <c r="E59" s="9">
        <v>1</v>
      </c>
      <c r="F59" s="9">
        <f>IF(COUNT(B59:E59)&lt;4,"",PRODUCT(B59:E59)^(1/4))</f>
        <v>1.3160740129524926</v>
      </c>
      <c r="G59" s="9">
        <f>IF(F60="","",F59/F60)</f>
        <v>0.29332024459157319</v>
      </c>
      <c r="H59" s="9">
        <f>IF(G59="","",B59*$G$56 + C59*$G$57 + D59*$G$58 + E59*$G$59)</f>
        <v>1.1955468297277154</v>
      </c>
      <c r="I59" s="9">
        <f>IFERROR(H59/G59,"")</f>
        <v>4.0759096986040841</v>
      </c>
      <c r="J59" s="3"/>
      <c r="K59" s="3"/>
    </row>
    <row r="60" spans="1:11" ht="15">
      <c r="A60" s="3"/>
      <c r="B60" s="17"/>
      <c r="C60" s="17"/>
      <c r="D60" s="17"/>
      <c r="E60" s="17"/>
      <c r="F60" s="9">
        <f>IF(COUNT(F56:F59)&lt;4,"",SUM(F56:F59))</f>
        <v>4.4868161581722008</v>
      </c>
      <c r="G60" s="9">
        <f>IF(COUNT(G56:G59)&lt;4,"",SUM(G56:G59))</f>
        <v>1</v>
      </c>
      <c r="H60" s="18" t="s">
        <v>115</v>
      </c>
      <c r="I60" s="9">
        <f>IF(COUNT(I56:I59)&lt;4,"",AVERAGE(I56:I59))</f>
        <v>4.1532599677937103</v>
      </c>
      <c r="J60" s="3"/>
      <c r="K60" s="3"/>
    </row>
    <row r="61" spans="1:11" ht="15">
      <c r="A61" s="3"/>
      <c r="B61" s="17"/>
      <c r="C61" s="17"/>
      <c r="D61" s="17"/>
      <c r="E61" s="17"/>
      <c r="F61" s="9"/>
      <c r="G61" s="9"/>
      <c r="H61" s="18" t="s">
        <v>116</v>
      </c>
      <c r="I61" s="9">
        <f>IF(I60="","",(I60-4)/(4-1))</f>
        <v>5.108665593123677E-2</v>
      </c>
      <c r="J61" s="3"/>
      <c r="K61" s="3"/>
    </row>
    <row r="62" spans="1:11" ht="15">
      <c r="A62" s="3"/>
      <c r="B62" s="17"/>
      <c r="C62" s="17"/>
      <c r="D62" s="17"/>
      <c r="E62" s="17"/>
      <c r="F62" s="9"/>
      <c r="G62" s="9"/>
      <c r="H62" s="18" t="s">
        <v>14</v>
      </c>
      <c r="I62" s="9">
        <f>VLOOKUP(4,Шкала_Саати!$D$4:$E$13,2,FALSE)</f>
        <v>0.9</v>
      </c>
      <c r="J62" s="3"/>
      <c r="K62" s="3"/>
    </row>
    <row r="63" spans="1:11" ht="15">
      <c r="A63" s="3"/>
      <c r="B63" s="17"/>
      <c r="C63" s="17"/>
      <c r="D63" s="17"/>
      <c r="E63" s="17"/>
      <c r="F63" s="9"/>
      <c r="G63" s="9"/>
      <c r="H63" s="18" t="s">
        <v>117</v>
      </c>
      <c r="I63" s="9">
        <f>IF(COUNT(I61:I62)&lt;2,"",I61/I62)</f>
        <v>5.6762951034707521E-2</v>
      </c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16" t="s">
        <v>126</v>
      </c>
      <c r="B66" s="16"/>
      <c r="C66" s="16"/>
      <c r="D66" s="16"/>
      <c r="E66" s="16"/>
      <c r="F66" s="16"/>
      <c r="G66" s="16"/>
      <c r="H66" s="16"/>
      <c r="I66" s="16"/>
      <c r="J66" s="3"/>
      <c r="K66" s="3"/>
    </row>
    <row r="67" spans="1:11" ht="15">
      <c r="A67" s="5"/>
      <c r="B67" s="5" t="s">
        <v>119</v>
      </c>
      <c r="C67" s="5" t="s">
        <v>120</v>
      </c>
      <c r="D67" s="5" t="s">
        <v>121</v>
      </c>
      <c r="E67" s="5" t="s">
        <v>122</v>
      </c>
      <c r="F67" s="5" t="s">
        <v>111</v>
      </c>
      <c r="G67" s="5" t="s">
        <v>112</v>
      </c>
      <c r="H67" s="5" t="s">
        <v>113</v>
      </c>
      <c r="I67" s="5" t="s">
        <v>114</v>
      </c>
      <c r="J67" s="3"/>
      <c r="K67" s="3"/>
    </row>
    <row r="68" spans="1:11" ht="15">
      <c r="A68" s="5" t="s">
        <v>119</v>
      </c>
      <c r="B68" s="9">
        <v>1</v>
      </c>
      <c r="C68" s="9">
        <f>Числовые_ответы!AP2</f>
        <v>0.2</v>
      </c>
      <c r="D68" s="9">
        <f>Числовые_ответы!AQ2</f>
        <v>0.33333333333333331</v>
      </c>
      <c r="E68" s="9">
        <f>Числовые_ответы!AR2</f>
        <v>1</v>
      </c>
      <c r="F68" s="9">
        <f>IF(COUNT(B68:E68)&lt;4,"",PRODUCT(B68:E68)^(1/4))</f>
        <v>0.50813274815461473</v>
      </c>
      <c r="G68" s="9">
        <f>IF(F72="","",F68/F72)</f>
        <v>9.5521658865324377E-2</v>
      </c>
      <c r="H68" s="9">
        <f>IF(G68="","",B68*$G$68 + C68*$G$69 + D68*$G$70 + E68*$G$71)</f>
        <v>0.3875742718545313</v>
      </c>
      <c r="I68" s="9">
        <f>IFERROR(H68/G68,"")</f>
        <v>4.0574491320441872</v>
      </c>
      <c r="J68" s="3"/>
      <c r="K68" s="3"/>
    </row>
    <row r="69" spans="1:11" ht="15">
      <c r="A69" s="5" t="s">
        <v>120</v>
      </c>
      <c r="B69" s="9">
        <f>IF(C68="","",1/C68)</f>
        <v>5</v>
      </c>
      <c r="C69" s="9">
        <v>1</v>
      </c>
      <c r="D69" s="9">
        <f>Числовые_ответы!AS2</f>
        <v>1</v>
      </c>
      <c r="E69" s="9">
        <f>Числовые_ответы!AT2</f>
        <v>7</v>
      </c>
      <c r="F69" s="9">
        <f>IF(COUNT(B69:E69)&lt;4,"",PRODUCT(B69:E69)^(1/4))</f>
        <v>2.4322992790977871</v>
      </c>
      <c r="G69" s="9">
        <f>IF(F72="","",F69/F72)</f>
        <v>0.45723733185891335</v>
      </c>
      <c r="H69" s="9">
        <f>IF(G69="","",B69*$G$68 + C69*$G$69 + D69*$G$70 + E69*$G$71)</f>
        <v>1.8458099271908281</v>
      </c>
      <c r="I69" s="9">
        <f>IFERROR(H69/G69,"")</f>
        <v>4.0368749412621829</v>
      </c>
      <c r="J69" s="3"/>
      <c r="K69" s="3"/>
    </row>
    <row r="70" spans="1:11" ht="15">
      <c r="A70" s="5" t="s">
        <v>121</v>
      </c>
      <c r="B70" s="9">
        <f>IF(D68="","",1/D68)</f>
        <v>3</v>
      </c>
      <c r="C70" s="9">
        <f>IF(D69="","",1/D69)</f>
        <v>1</v>
      </c>
      <c r="D70" s="9">
        <v>1</v>
      </c>
      <c r="E70" s="9">
        <f>Числовые_ответы!AU2</f>
        <v>5</v>
      </c>
      <c r="F70" s="9">
        <f>IF(COUNT(B70:E70)&lt;4,"",PRODUCT(B70:E70)^(1/4))</f>
        <v>1.9679896712654303</v>
      </c>
      <c r="G70" s="9">
        <f>IF(F72="","",F70/F72)</f>
        <v>0.36995379398750733</v>
      </c>
      <c r="H70" s="9">
        <f>IF(G70="","",B70*$G$68 + C70*$G$69 + D70*$G$70 + E70*$G$71)</f>
        <v>1.5001921788836694</v>
      </c>
      <c r="I70" s="9">
        <f>IFERROR(H70/G70,"")</f>
        <v>4.0550798593359696</v>
      </c>
      <c r="J70" s="3"/>
      <c r="K70" s="3"/>
    </row>
    <row r="71" spans="1:11" ht="15">
      <c r="A71" s="5" t="s">
        <v>122</v>
      </c>
      <c r="B71" s="9">
        <f>IF(E68="","",1/E68)</f>
        <v>1</v>
      </c>
      <c r="C71" s="9">
        <f>IF(E69="","",1/E69)</f>
        <v>0.14285714285714285</v>
      </c>
      <c r="D71" s="9">
        <f>IF(E70="","",1/E70)</f>
        <v>0.2</v>
      </c>
      <c r="E71" s="9">
        <v>1</v>
      </c>
      <c r="F71" s="9">
        <f>IF(COUNT(B71:E71)&lt;4,"",PRODUCT(B71:E71)^(1/4))</f>
        <v>0.41113361690051975</v>
      </c>
      <c r="G71" s="9">
        <f>IF(F72="","",F71/F72)</f>
        <v>7.7287215288255079E-2</v>
      </c>
      <c r="H71" s="9">
        <f>IF(G71="","",B71*$G$68 + C71*$G$69 + D71*$G$70 + E71*$G$71)</f>
        <v>0.31211925178806854</v>
      </c>
      <c r="I71" s="9">
        <f>IFERROR(H71/G71,"")</f>
        <v>4.0384331434891223</v>
      </c>
      <c r="J71" s="3"/>
      <c r="K71" s="3"/>
    </row>
    <row r="72" spans="1:11" ht="15">
      <c r="A72" s="3"/>
      <c r="B72" s="17"/>
      <c r="C72" s="17"/>
      <c r="D72" s="17"/>
      <c r="E72" s="17"/>
      <c r="F72" s="9">
        <f>IF(COUNT(F68:F71)&lt;4,"",SUM(F68:F71))</f>
        <v>5.3195553154183512</v>
      </c>
      <c r="G72" s="9">
        <f>IF(COUNT(G68:G71)&lt;4,"",SUM(G68:G71))</f>
        <v>1.0000000000000002</v>
      </c>
      <c r="H72" s="18" t="s">
        <v>115</v>
      </c>
      <c r="I72" s="9">
        <f>IF(COUNT(I68:I71)&lt;4,"",AVERAGE(I68:I71))</f>
        <v>4.0469592690328655</v>
      </c>
      <c r="J72" s="3"/>
      <c r="K72" s="3"/>
    </row>
    <row r="73" spans="1:11" ht="15">
      <c r="A73" s="3"/>
      <c r="B73" s="17"/>
      <c r="C73" s="17"/>
      <c r="D73" s="17"/>
      <c r="E73" s="17"/>
      <c r="F73" s="9"/>
      <c r="G73" s="9"/>
      <c r="H73" s="18" t="s">
        <v>116</v>
      </c>
      <c r="I73" s="9">
        <f>IF(I72="","",(I72-4)/(4-1))</f>
        <v>1.5653089677621839E-2</v>
      </c>
      <c r="J73" s="3"/>
      <c r="K73" s="3"/>
    </row>
    <row r="74" spans="1:11" ht="15">
      <c r="A74" s="3"/>
      <c r="B74" s="17"/>
      <c r="C74" s="17"/>
      <c r="D74" s="17"/>
      <c r="E74" s="17"/>
      <c r="F74" s="9"/>
      <c r="G74" s="9"/>
      <c r="H74" s="18" t="s">
        <v>14</v>
      </c>
      <c r="I74" s="9">
        <f>VLOOKUP(4,Шкала_Саати!$D$4:$E$13,2,FALSE)</f>
        <v>0.9</v>
      </c>
      <c r="J74" s="3"/>
      <c r="K74" s="3"/>
    </row>
    <row r="75" spans="1:11" ht="15">
      <c r="A75" s="3"/>
      <c r="B75" s="17"/>
      <c r="C75" s="17"/>
      <c r="D75" s="17"/>
      <c r="E75" s="17"/>
      <c r="F75" s="9"/>
      <c r="G75" s="9"/>
      <c r="H75" s="18" t="s">
        <v>117</v>
      </c>
      <c r="I75" s="9">
        <f>IF(COUNT(I73:I74)&lt;2,"",I73/I74)</f>
        <v>1.7392321864024264E-2</v>
      </c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16" t="s">
        <v>127</v>
      </c>
      <c r="B78" s="16"/>
      <c r="C78" s="16"/>
      <c r="D78" s="16"/>
      <c r="E78" s="16"/>
      <c r="F78" s="16"/>
      <c r="G78" s="16"/>
      <c r="H78" s="16"/>
      <c r="I78" s="16"/>
      <c r="J78" s="3"/>
      <c r="K78" s="3"/>
    </row>
    <row r="79" spans="1:11" ht="15">
      <c r="A79" s="5"/>
      <c r="B79" s="5" t="s">
        <v>119</v>
      </c>
      <c r="C79" s="5" t="s">
        <v>120</v>
      </c>
      <c r="D79" s="5" t="s">
        <v>121</v>
      </c>
      <c r="E79" s="5" t="s">
        <v>122</v>
      </c>
      <c r="F79" s="5" t="s">
        <v>111</v>
      </c>
      <c r="G79" s="5" t="s">
        <v>112</v>
      </c>
      <c r="H79" s="5" t="s">
        <v>113</v>
      </c>
      <c r="I79" s="5" t="s">
        <v>114</v>
      </c>
      <c r="J79" s="3"/>
      <c r="K79" s="3"/>
    </row>
    <row r="80" spans="1:11" ht="15">
      <c r="A80" s="5" t="s">
        <v>119</v>
      </c>
      <c r="B80" s="9">
        <v>1</v>
      </c>
      <c r="C80" s="9">
        <f>Числовые_ответы!AV2</f>
        <v>0.2</v>
      </c>
      <c r="D80" s="9">
        <f>Числовые_ответы!AW2</f>
        <v>3</v>
      </c>
      <c r="E80" s="9">
        <f>Числовые_ответы!AX2</f>
        <v>3</v>
      </c>
      <c r="F80" s="9">
        <f>IF(COUNT(B80:E80)&lt;4,"",PRODUCT(B80:E80)^(1/4))</f>
        <v>1.158292185288269</v>
      </c>
      <c r="G80" s="9">
        <f>IF(F84="","",F80/F84)</f>
        <v>0.20926264363765068</v>
      </c>
      <c r="H80" s="9">
        <f>IF(G80="","",B80*$G$80 + C80*$G$81 + D80*$G$82 + E80*$G$83)</f>
        <v>0.96216866696515524</v>
      </c>
      <c r="I80" s="9">
        <f>IFERROR(H80/G80,"")</f>
        <v>4.5978997982611798</v>
      </c>
      <c r="J80" s="3"/>
      <c r="K80" s="3"/>
    </row>
    <row r="81" spans="1:11" ht="15">
      <c r="A81" s="5" t="s">
        <v>120</v>
      </c>
      <c r="B81" s="9">
        <f>IF(C80="","",1/C80)</f>
        <v>5</v>
      </c>
      <c r="C81" s="9">
        <v>1</v>
      </c>
      <c r="D81" s="9">
        <f>Числовые_ответы!AY2</f>
        <v>3</v>
      </c>
      <c r="E81" s="9">
        <f>Числовые_ответы!AZ2</f>
        <v>7</v>
      </c>
      <c r="F81" s="9">
        <f>IF(COUNT(B81:E81)&lt;4,"",PRODUCT(B81:E81)^(1/4))</f>
        <v>3.2010858729436791</v>
      </c>
      <c r="G81" s="9">
        <f>IF(F84="","",F81/F84)</f>
        <v>0.57832358777126547</v>
      </c>
      <c r="H81" s="9">
        <f>IF(G81="","",B81*$G$80 + C81*$G$81 + D81*$G$82 + E81*$G$83)</f>
        <v>2.4876325243303046</v>
      </c>
      <c r="I81" s="9">
        <f>IFERROR(H81/G81,"")</f>
        <v>4.3014543707565247</v>
      </c>
      <c r="J81" s="3"/>
      <c r="K81" s="3"/>
    </row>
    <row r="82" spans="1:11" ht="15">
      <c r="A82" s="5" t="s">
        <v>121</v>
      </c>
      <c r="B82" s="9">
        <f>IF(D80="","",1/D80)</f>
        <v>0.33333333333333331</v>
      </c>
      <c r="C82" s="9">
        <f>IF(D81="","",1/D81)</f>
        <v>0.33333333333333331</v>
      </c>
      <c r="D82" s="9">
        <v>1</v>
      </c>
      <c r="E82" s="9">
        <f>Числовые_ответы!BA2</f>
        <v>5</v>
      </c>
      <c r="F82" s="9">
        <f>IF(COUNT(B82:E82)&lt;4,"",PRODUCT(B82:E82)^(1/4))</f>
        <v>0.86334002137045052</v>
      </c>
      <c r="G82" s="9">
        <f>IF(F84="","",F82/F84)</f>
        <v>0.15597516544170029</v>
      </c>
      <c r="H82" s="9">
        <f>IF(G82="","",B82*$G$80 + C82*$G$81 + D82*$G$82 + E82*$G$83)</f>
        <v>0.70069692499158998</v>
      </c>
      <c r="I82" s="9">
        <f>IFERROR(H82/G82,"")</f>
        <v>4.4923621206447342</v>
      </c>
      <c r="J82" s="3"/>
      <c r="K82" s="3"/>
    </row>
    <row r="83" spans="1:11" ht="15">
      <c r="A83" s="5" t="s">
        <v>122</v>
      </c>
      <c r="B83" s="9">
        <f>IF(E80="","",1/E80)</f>
        <v>0.33333333333333331</v>
      </c>
      <c r="C83" s="9">
        <f>IF(E81="","",1/E81)</f>
        <v>0.14285714285714285</v>
      </c>
      <c r="D83" s="9">
        <f>IF(E82="","",1/E82)</f>
        <v>0.2</v>
      </c>
      <c r="E83" s="9">
        <v>1</v>
      </c>
      <c r="F83" s="9">
        <f>IF(COUNT(B83:E83)&lt;4,"",PRODUCT(B83:E83)^(1/4))</f>
        <v>0.31239399369202558</v>
      </c>
      <c r="G83" s="9">
        <f>IF(F84="","",F83/F84)</f>
        <v>5.6438603149383544E-2</v>
      </c>
      <c r="H83" s="9">
        <f>IF(G83="","",B83*$G$80 + C83*$G$81 + D83*$G$82 + E83*$G$83)</f>
        <v>0.24000550617950223</v>
      </c>
      <c r="I83" s="9">
        <f>IFERROR(H83/G83,"")</f>
        <v>4.2525061356364153</v>
      </c>
      <c r="J83" s="3"/>
      <c r="K83" s="3"/>
    </row>
    <row r="84" spans="1:11" ht="15">
      <c r="A84" s="3"/>
      <c r="B84" s="17"/>
      <c r="C84" s="17"/>
      <c r="D84" s="17"/>
      <c r="E84" s="17"/>
      <c r="F84" s="9">
        <f>IF(COUNT(F80:F83)&lt;4,"",SUM(F80:F83))</f>
        <v>5.5351120732944246</v>
      </c>
      <c r="G84" s="9">
        <f>IF(COUNT(G80:G83)&lt;4,"",SUM(G80:G83))</f>
        <v>1</v>
      </c>
      <c r="H84" s="18" t="s">
        <v>115</v>
      </c>
      <c r="I84" s="9">
        <f>IF(COUNT(I80:I83)&lt;4,"",AVERAGE(I80:I83))</f>
        <v>4.4110556063247142</v>
      </c>
      <c r="J84" s="3"/>
      <c r="K84" s="3"/>
    </row>
    <row r="85" spans="1:11" ht="15">
      <c r="A85" s="3"/>
      <c r="B85" s="17"/>
      <c r="C85" s="17"/>
      <c r="D85" s="17"/>
      <c r="E85" s="17"/>
      <c r="F85" s="9"/>
      <c r="G85" s="9"/>
      <c r="H85" s="18" t="s">
        <v>116</v>
      </c>
      <c r="I85" s="9">
        <f>IF(I84="","",(I84-4)/(4-1))</f>
        <v>0.13701853544157139</v>
      </c>
      <c r="J85" s="3"/>
      <c r="K85" s="3"/>
    </row>
    <row r="86" spans="1:11" ht="15">
      <c r="A86" s="3"/>
      <c r="B86" s="17"/>
      <c r="C86" s="17"/>
      <c r="D86" s="17"/>
      <c r="E86" s="17"/>
      <c r="F86" s="9"/>
      <c r="G86" s="9"/>
      <c r="H86" s="18" t="s">
        <v>14</v>
      </c>
      <c r="I86" s="9">
        <f>VLOOKUP(4,Шкала_Саати!$D$4:$E$13,2,FALSE)</f>
        <v>0.9</v>
      </c>
      <c r="J86" s="3"/>
      <c r="K86" s="3"/>
    </row>
    <row r="87" spans="1:11" ht="15">
      <c r="A87" s="3"/>
      <c r="B87" s="17"/>
      <c r="C87" s="17"/>
      <c r="D87" s="17"/>
      <c r="E87" s="17"/>
      <c r="F87" s="9"/>
      <c r="G87" s="9"/>
      <c r="H87" s="18" t="s">
        <v>117</v>
      </c>
      <c r="I87" s="9">
        <f>IF(COUNT(I85:I86)&lt;2,"",I85/I86)</f>
        <v>0.15224281715730154</v>
      </c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</sheetData>
  <mergeCells count="9">
    <mergeCell ref="A42:I42"/>
    <mergeCell ref="A54:I54"/>
    <mergeCell ref="A66:I66"/>
    <mergeCell ref="A78:I78"/>
    <mergeCell ref="A1:K1"/>
    <mergeCell ref="A2:K2"/>
    <mergeCell ref="A4:K4"/>
    <mergeCell ref="A18:I18"/>
    <mergeCell ref="A30:I30"/>
  </mergeCells>
  <conditionalFormatting sqref="I27">
    <cfRule type="cellIs" dxfId="57" priority="3" operator="greaterThan">
      <formula>0.1</formula>
    </cfRule>
    <cfRule type="cellIs" dxfId="56" priority="4" operator="lessThanOrEqual">
      <formula>0.1</formula>
    </cfRule>
  </conditionalFormatting>
  <conditionalFormatting sqref="I39">
    <cfRule type="cellIs" dxfId="55" priority="5" operator="greaterThan">
      <formula>0.1</formula>
    </cfRule>
    <cfRule type="cellIs" dxfId="54" priority="6" operator="lessThanOrEqual">
      <formula>0.1</formula>
    </cfRule>
  </conditionalFormatting>
  <conditionalFormatting sqref="I51">
    <cfRule type="cellIs" dxfId="53" priority="7" operator="greaterThan">
      <formula>0.1</formula>
    </cfRule>
    <cfRule type="cellIs" dxfId="52" priority="8" operator="lessThanOrEqual">
      <formula>0.1</formula>
    </cfRule>
  </conditionalFormatting>
  <conditionalFormatting sqref="I63">
    <cfRule type="cellIs" dxfId="51" priority="9" operator="greaterThan">
      <formula>0.1</formula>
    </cfRule>
    <cfRule type="cellIs" dxfId="50" priority="10" operator="lessThanOrEqual">
      <formula>0.1</formula>
    </cfRule>
  </conditionalFormatting>
  <conditionalFormatting sqref="I75">
    <cfRule type="cellIs" dxfId="49" priority="11" operator="greaterThan">
      <formula>0.1</formula>
    </cfRule>
    <cfRule type="cellIs" dxfId="48" priority="12" operator="lessThanOrEqual">
      <formula>0.1</formula>
    </cfRule>
  </conditionalFormatting>
  <conditionalFormatting sqref="I87">
    <cfRule type="cellIs" dxfId="47" priority="13" operator="greaterThan">
      <formula>0.1</formula>
    </cfRule>
    <cfRule type="cellIs" dxfId="46" priority="14" operator="lessThanOrEqual">
      <formula>0.1</formula>
    </cfRule>
  </conditionalFormatting>
  <conditionalFormatting sqref="K15">
    <cfRule type="cellIs" dxfId="45" priority="1" operator="greaterThan">
      <formula>0.1</formula>
    </cfRule>
    <cfRule type="cellIs" dxfId="44" priority="2" operator="lessThanOrEqual">
      <formula>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0"/>
  <sheetViews>
    <sheetView workbookViewId="0">
      <pane ySplit="2" topLeftCell="A3" activePane="bottomLeft" state="frozen"/>
      <selection pane="bottomLeft" activeCell="E14" sqref="E14"/>
    </sheetView>
  </sheetViews>
  <sheetFormatPr baseColWidth="10" defaultColWidth="8.83203125" defaultRowHeight="14"/>
  <cols>
    <col min="1" max="1" width="14" style="8" customWidth="1"/>
    <col min="2" max="7" width="11" style="8" customWidth="1"/>
    <col min="8" max="11" width="14" style="8" customWidth="1"/>
    <col min="12" max="16384" width="8.83203125" style="8"/>
  </cols>
  <sheetData>
    <row r="1" spans="1:11" ht="18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15" t="s">
        <v>103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16" t="s">
        <v>104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5">
      <c r="A5" s="5"/>
      <c r="B5" s="5" t="s">
        <v>105</v>
      </c>
      <c r="C5" s="5" t="s">
        <v>106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113</v>
      </c>
      <c r="K5" s="5" t="s">
        <v>114</v>
      </c>
    </row>
    <row r="6" spans="1:11" ht="15">
      <c r="A6" s="5" t="s">
        <v>105</v>
      </c>
      <c r="B6" s="9">
        <v>1</v>
      </c>
      <c r="C6" s="9">
        <f>Числовые_ответы!C3</f>
        <v>1</v>
      </c>
      <c r="D6" s="9">
        <f>Числовые_ответы!D3</f>
        <v>5</v>
      </c>
      <c r="E6" s="9">
        <f>Числовые_ответы!E3</f>
        <v>1</v>
      </c>
      <c r="F6" s="9">
        <f>Числовые_ответы!F3</f>
        <v>1</v>
      </c>
      <c r="G6" s="9">
        <f>Числовые_ответы!G3</f>
        <v>1</v>
      </c>
      <c r="H6" s="9">
        <f t="shared" ref="H6:H11" si="0">IF(COUNT(B6:G6)&lt;6,"",PRODUCT(B6:G6)^(1/6))</f>
        <v>1.3076604860118306</v>
      </c>
      <c r="I6" s="9">
        <f>IF(H12="","",H6/H12)</f>
        <v>0.19708713008115583</v>
      </c>
      <c r="J6" s="9">
        <f t="shared" ref="J6:J11" si="1">IF(I6="","",B6*$I$6 + C6*$I$7 + D6*$I$8 + E6*$I$9 + F6*$I$10 + G6*$I$11)</f>
        <v>1.1869381049031533</v>
      </c>
      <c r="K6" s="9">
        <f t="shared" ref="K6:K11" si="2">IFERROR(J6/I6,"")</f>
        <v>6.0224029058335784</v>
      </c>
    </row>
    <row r="7" spans="1:11" ht="15">
      <c r="A7" s="5" t="s">
        <v>106</v>
      </c>
      <c r="B7" s="9">
        <f>IF(C6="","",1/C6)</f>
        <v>1</v>
      </c>
      <c r="C7" s="9">
        <v>1</v>
      </c>
      <c r="D7" s="9">
        <f>Числовые_ответы!H3</f>
        <v>5</v>
      </c>
      <c r="E7" s="9">
        <f>Числовые_ответы!I3</f>
        <v>1</v>
      </c>
      <c r="F7" s="9">
        <f>Числовые_ответы!J3</f>
        <v>1</v>
      </c>
      <c r="G7" s="9">
        <f>Числовые_ответы!K3</f>
        <v>1</v>
      </c>
      <c r="H7" s="9">
        <f t="shared" si="0"/>
        <v>1.3076604860118306</v>
      </c>
      <c r="I7" s="9">
        <f>IF(H12="","",H7/H12)</f>
        <v>0.19708713008115583</v>
      </c>
      <c r="J7" s="9">
        <f t="shared" si="1"/>
        <v>1.1869381049031533</v>
      </c>
      <c r="K7" s="9">
        <f t="shared" si="2"/>
        <v>6.0224029058335784</v>
      </c>
    </row>
    <row r="8" spans="1:11" ht="15">
      <c r="A8" s="5" t="s">
        <v>107</v>
      </c>
      <c r="B8" s="9">
        <f>IF(D6="","",1/D6)</f>
        <v>0.2</v>
      </c>
      <c r="C8" s="9">
        <f>IF(D7="","",1/D7)</f>
        <v>0.2</v>
      </c>
      <c r="D8" s="9">
        <v>1</v>
      </c>
      <c r="E8" s="9">
        <f>Числовые_ответы!L3</f>
        <v>0.2</v>
      </c>
      <c r="F8" s="9">
        <f>Числовые_ответы!M3</f>
        <v>0.33333333333333331</v>
      </c>
      <c r="G8" s="9">
        <f>Числовые_ответы!N3</f>
        <v>0.33333333333333331</v>
      </c>
      <c r="H8" s="9">
        <f t="shared" si="0"/>
        <v>0.31008058848278014</v>
      </c>
      <c r="I8" s="9">
        <f>IF(H12="","",H8/H12)</f>
        <v>4.6734526225788352E-2</v>
      </c>
      <c r="J8" s="9">
        <f t="shared" si="1"/>
        <v>0.2856548321180632</v>
      </c>
      <c r="K8" s="9">
        <f t="shared" si="2"/>
        <v>6.1122868933768579</v>
      </c>
    </row>
    <row r="9" spans="1:11" ht="15">
      <c r="A9" s="5" t="s">
        <v>108</v>
      </c>
      <c r="B9" s="9">
        <f>IF(E6="","",1/E6)</f>
        <v>1</v>
      </c>
      <c r="C9" s="9">
        <f>IF(E7="","",1/E7)</f>
        <v>1</v>
      </c>
      <c r="D9" s="9">
        <f>IF(E8="","",1/E8)</f>
        <v>5</v>
      </c>
      <c r="E9" s="9">
        <v>1</v>
      </c>
      <c r="F9" s="9">
        <f>Числовые_ответы!O3</f>
        <v>1</v>
      </c>
      <c r="G9" s="9">
        <f>Числовые_ответы!P3</f>
        <v>1</v>
      </c>
      <c r="H9" s="9">
        <f t="shared" si="0"/>
        <v>1.3076604860118306</v>
      </c>
      <c r="I9" s="9">
        <f>IF(H12="","",H9/H12)</f>
        <v>0.19708713008115583</v>
      </c>
      <c r="J9" s="9">
        <f t="shared" si="1"/>
        <v>1.1869381049031533</v>
      </c>
      <c r="K9" s="9">
        <f t="shared" si="2"/>
        <v>6.0224029058335784</v>
      </c>
    </row>
    <row r="10" spans="1:11" ht="15">
      <c r="A10" s="5" t="s">
        <v>109</v>
      </c>
      <c r="B10" s="9">
        <f>IF(F6="","",1/F6)</f>
        <v>1</v>
      </c>
      <c r="C10" s="9">
        <f>IF(F7="","",1/F7)</f>
        <v>1</v>
      </c>
      <c r="D10" s="9">
        <f>IF(F8="","",1/F8)</f>
        <v>3</v>
      </c>
      <c r="E10" s="9">
        <f>IF(F9="","",1/F9)</f>
        <v>1</v>
      </c>
      <c r="F10" s="9">
        <v>1</v>
      </c>
      <c r="G10" s="9">
        <f>Числовые_ответы!Q3</f>
        <v>1</v>
      </c>
      <c r="H10" s="9">
        <f t="shared" si="0"/>
        <v>1.2009369551760027</v>
      </c>
      <c r="I10" s="9">
        <f>IF(H12="","",H10/H12)</f>
        <v>0.18100204176537205</v>
      </c>
      <c r="J10" s="9">
        <f t="shared" si="1"/>
        <v>1.0934690524515767</v>
      </c>
      <c r="K10" s="9">
        <f t="shared" si="2"/>
        <v>6.0411973356024928</v>
      </c>
    </row>
    <row r="11" spans="1:11" ht="15">
      <c r="A11" s="5" t="s">
        <v>110</v>
      </c>
      <c r="B11" s="9">
        <f>IF(G6="","",1/G6)</f>
        <v>1</v>
      </c>
      <c r="C11" s="9">
        <f>IF(G7="","",1/G7)</f>
        <v>1</v>
      </c>
      <c r="D11" s="9">
        <f>IF(G8="","",1/G8)</f>
        <v>3</v>
      </c>
      <c r="E11" s="9">
        <f>IF(G9="","",1/G9)</f>
        <v>1</v>
      </c>
      <c r="F11" s="9">
        <f>IF(G10="","",1/G10)</f>
        <v>1</v>
      </c>
      <c r="G11" s="9">
        <v>1</v>
      </c>
      <c r="H11" s="9">
        <f t="shared" si="0"/>
        <v>1.2009369551760027</v>
      </c>
      <c r="I11" s="9">
        <f>IF(H12="","",H11/H12)</f>
        <v>0.18100204176537205</v>
      </c>
      <c r="J11" s="9">
        <f t="shared" si="1"/>
        <v>1.0934690524515767</v>
      </c>
      <c r="K11" s="9">
        <f t="shared" si="2"/>
        <v>6.0411973356024928</v>
      </c>
    </row>
    <row r="12" spans="1:11" ht="15">
      <c r="A12" s="3"/>
      <c r="B12" s="17"/>
      <c r="C12" s="17"/>
      <c r="D12" s="17"/>
      <c r="E12" s="17"/>
      <c r="F12" s="17"/>
      <c r="G12" s="17"/>
      <c r="H12" s="9">
        <f>IF(COUNT(H6:H11)&lt;6,"",SUM(H6:H11))</f>
        <v>6.6349359568702777</v>
      </c>
      <c r="I12" s="9">
        <f>IF(COUNT(I6:I11)&lt;6,"",SUM(I6:I11))</f>
        <v>0.99999999999999989</v>
      </c>
      <c r="J12" s="18" t="s">
        <v>115</v>
      </c>
      <c r="K12" s="9">
        <f>IF(COUNT(K6:K11)&lt;6,"",AVERAGE(K6:K11))</f>
        <v>6.0436483803470971</v>
      </c>
    </row>
    <row r="13" spans="1:11" ht="15">
      <c r="A13" s="3"/>
      <c r="B13" s="17"/>
      <c r="C13" s="17"/>
      <c r="D13" s="17"/>
      <c r="E13" s="17"/>
      <c r="F13" s="17"/>
      <c r="G13" s="17"/>
      <c r="H13" s="9"/>
      <c r="I13" s="9"/>
      <c r="J13" s="18" t="s">
        <v>116</v>
      </c>
      <c r="K13" s="9">
        <f>IF(K12="","",(K12-6)/(6-1))</f>
        <v>8.7296760694194116E-3</v>
      </c>
    </row>
    <row r="14" spans="1:11" ht="15">
      <c r="A14" s="3"/>
      <c r="B14" s="17"/>
      <c r="C14" s="17"/>
      <c r="D14" s="17"/>
      <c r="E14" s="17"/>
      <c r="F14" s="17"/>
      <c r="G14" s="17"/>
      <c r="H14" s="9"/>
      <c r="I14" s="9"/>
      <c r="J14" s="18" t="s">
        <v>14</v>
      </c>
      <c r="K14" s="9">
        <f>VLOOKUP(6,Шкала_Саати!$D$4:$E$13,2,FALSE)</f>
        <v>1.24</v>
      </c>
    </row>
    <row r="15" spans="1:11" ht="15">
      <c r="A15" s="3"/>
      <c r="B15" s="17"/>
      <c r="C15" s="17"/>
      <c r="D15" s="17"/>
      <c r="E15" s="17"/>
      <c r="F15" s="17"/>
      <c r="G15" s="17"/>
      <c r="H15" s="9"/>
      <c r="I15" s="9"/>
      <c r="J15" s="18" t="s">
        <v>117</v>
      </c>
      <c r="K15" s="9">
        <f>IF(COUNT(K13:K14)&lt;2,"",K13/K14)</f>
        <v>7.0400613463059772E-3</v>
      </c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16" t="s">
        <v>118</v>
      </c>
      <c r="B18" s="16"/>
      <c r="C18" s="16"/>
      <c r="D18" s="16"/>
      <c r="E18" s="16"/>
      <c r="F18" s="16"/>
      <c r="G18" s="16"/>
      <c r="H18" s="16"/>
      <c r="I18" s="16"/>
      <c r="J18" s="3"/>
      <c r="K18" s="3"/>
    </row>
    <row r="19" spans="1:11" ht="15">
      <c r="A19" s="5"/>
      <c r="B19" s="5" t="s">
        <v>119</v>
      </c>
      <c r="C19" s="5" t="s">
        <v>120</v>
      </c>
      <c r="D19" s="5" t="s">
        <v>121</v>
      </c>
      <c r="E19" s="5" t="s">
        <v>122</v>
      </c>
      <c r="F19" s="5" t="s">
        <v>111</v>
      </c>
      <c r="G19" s="5" t="s">
        <v>112</v>
      </c>
      <c r="H19" s="5" t="s">
        <v>113</v>
      </c>
      <c r="I19" s="5" t="s">
        <v>114</v>
      </c>
      <c r="J19" s="3"/>
      <c r="K19" s="3"/>
    </row>
    <row r="20" spans="1:11" ht="15">
      <c r="A20" s="5" t="s">
        <v>119</v>
      </c>
      <c r="B20" s="9">
        <v>1</v>
      </c>
      <c r="C20" s="9">
        <f>Числовые_ответы!R3</f>
        <v>0.2</v>
      </c>
      <c r="D20" s="9">
        <f>Числовые_ответы!S3</f>
        <v>0.2</v>
      </c>
      <c r="E20" s="9">
        <f>Числовые_ответы!T3</f>
        <v>1</v>
      </c>
      <c r="F20" s="9">
        <f>IF(COUNT(B20:E20)&lt;4,"",PRODUCT(B20:E20)^(1/4))</f>
        <v>0.44721359549995798</v>
      </c>
      <c r="G20" s="9">
        <f>IF(F24="","",F20/F24)</f>
        <v>8.3333333333333329E-2</v>
      </c>
      <c r="H20" s="9">
        <f>IF(G20="","",B20*$G$20 + C20*$G$21 + D20*$G$22 + E20*$G$23)</f>
        <v>0.33333333333333331</v>
      </c>
      <c r="I20" s="9">
        <f>IFERROR(H20/G20,"")</f>
        <v>4</v>
      </c>
      <c r="J20" s="3"/>
      <c r="K20" s="3"/>
    </row>
    <row r="21" spans="1:11" ht="15">
      <c r="A21" s="5" t="s">
        <v>120</v>
      </c>
      <c r="B21" s="9">
        <f>IF(C20="","",1/C20)</f>
        <v>5</v>
      </c>
      <c r="C21" s="9">
        <v>1</v>
      </c>
      <c r="D21" s="9">
        <f>Числовые_ответы!U3</f>
        <v>1</v>
      </c>
      <c r="E21" s="9">
        <f>Числовые_ответы!V3</f>
        <v>5</v>
      </c>
      <c r="F21" s="9">
        <f>IF(COUNT(B21:E21)&lt;4,"",PRODUCT(B21:E21)^(1/4))</f>
        <v>2.2360679774997898</v>
      </c>
      <c r="G21" s="9">
        <f>IF(F24="","",F21/F24)</f>
        <v>0.41666666666666663</v>
      </c>
      <c r="H21" s="9">
        <f>IF(G21="","",B21*$G$20 + C21*$G$21 + D21*$G$22 + E21*$G$23)</f>
        <v>1.6666666666666665</v>
      </c>
      <c r="I21" s="9">
        <f>IFERROR(H21/G21,"")</f>
        <v>4</v>
      </c>
      <c r="J21" s="3"/>
      <c r="K21" s="3"/>
    </row>
    <row r="22" spans="1:11" ht="15">
      <c r="A22" s="5" t="s">
        <v>121</v>
      </c>
      <c r="B22" s="9">
        <f>IF(D20="","",1/D20)</f>
        <v>5</v>
      </c>
      <c r="C22" s="9">
        <f>IF(D21="","",1/D21)</f>
        <v>1</v>
      </c>
      <c r="D22" s="9">
        <v>1</v>
      </c>
      <c r="E22" s="9">
        <f>Числовые_ответы!W3</f>
        <v>5</v>
      </c>
      <c r="F22" s="9">
        <f>IF(COUNT(B22:E22)&lt;4,"",PRODUCT(B22:E22)^(1/4))</f>
        <v>2.2360679774997898</v>
      </c>
      <c r="G22" s="9">
        <f>IF(F24="","",F22/F24)</f>
        <v>0.41666666666666663</v>
      </c>
      <c r="H22" s="9">
        <f>IF(G22="","",B22*$G$20 + C22*$G$21 + D22*$G$22 + E22*$G$23)</f>
        <v>1.6666666666666665</v>
      </c>
      <c r="I22" s="9">
        <f>IFERROR(H22/G22,"")</f>
        <v>4</v>
      </c>
      <c r="J22" s="3"/>
      <c r="K22" s="3"/>
    </row>
    <row r="23" spans="1:11" ht="15">
      <c r="A23" s="5" t="s">
        <v>122</v>
      </c>
      <c r="B23" s="9">
        <f>IF(E20="","",1/E20)</f>
        <v>1</v>
      </c>
      <c r="C23" s="9">
        <f>IF(E21="","",1/E21)</f>
        <v>0.2</v>
      </c>
      <c r="D23" s="9">
        <f>IF(E22="","",1/E22)</f>
        <v>0.2</v>
      </c>
      <c r="E23" s="9">
        <v>1</v>
      </c>
      <c r="F23" s="9">
        <f>IF(COUNT(B23:E23)&lt;4,"",PRODUCT(B23:E23)^(1/4))</f>
        <v>0.44721359549995798</v>
      </c>
      <c r="G23" s="9">
        <f>IF(F24="","",F23/F24)</f>
        <v>8.3333333333333329E-2</v>
      </c>
      <c r="H23" s="9">
        <f>IF(G23="","",B23*$G$20 + C23*$G$21 + D23*$G$22 + E23*$G$23)</f>
        <v>0.33333333333333331</v>
      </c>
      <c r="I23" s="9">
        <f>IFERROR(H23/G23,"")</f>
        <v>4</v>
      </c>
      <c r="J23" s="3"/>
      <c r="K23" s="3"/>
    </row>
    <row r="24" spans="1:11" ht="15">
      <c r="A24" s="3"/>
      <c r="B24" s="17"/>
      <c r="C24" s="17"/>
      <c r="D24" s="17"/>
      <c r="E24" s="17"/>
      <c r="F24" s="9">
        <f>IF(COUNT(F20:F23)&lt;4,"",SUM(F20:F23))</f>
        <v>5.3665631459994962</v>
      </c>
      <c r="G24" s="9">
        <f>IF(COUNT(G20:G23)&lt;4,"",SUM(G20:G23))</f>
        <v>0.99999999999999989</v>
      </c>
      <c r="H24" s="18" t="s">
        <v>115</v>
      </c>
      <c r="I24" s="9">
        <f>IF(COUNT(I20:I23)&lt;4,"",AVERAGE(I20:I23))</f>
        <v>4</v>
      </c>
      <c r="J24" s="3"/>
      <c r="K24" s="3"/>
    </row>
    <row r="25" spans="1:11" ht="15">
      <c r="A25" s="3"/>
      <c r="B25" s="17"/>
      <c r="C25" s="17"/>
      <c r="D25" s="17"/>
      <c r="E25" s="17"/>
      <c r="F25" s="9"/>
      <c r="G25" s="9"/>
      <c r="H25" s="18" t="s">
        <v>116</v>
      </c>
      <c r="I25" s="9">
        <f>IF(I24="","",(I24-4)/(4-1))</f>
        <v>0</v>
      </c>
      <c r="J25" s="3"/>
      <c r="K25" s="3"/>
    </row>
    <row r="26" spans="1:11" ht="15">
      <c r="A26" s="3"/>
      <c r="B26" s="17"/>
      <c r="C26" s="17"/>
      <c r="D26" s="17"/>
      <c r="E26" s="17"/>
      <c r="F26" s="9"/>
      <c r="G26" s="9"/>
      <c r="H26" s="18" t="s">
        <v>14</v>
      </c>
      <c r="I26" s="9">
        <f>VLOOKUP(4,Шкала_Саати!$D$4:$E$13,2,FALSE)</f>
        <v>0.9</v>
      </c>
      <c r="J26" s="3"/>
      <c r="K26" s="3"/>
    </row>
    <row r="27" spans="1:11" ht="15">
      <c r="A27" s="3"/>
      <c r="B27" s="17"/>
      <c r="C27" s="17"/>
      <c r="D27" s="17"/>
      <c r="E27" s="17"/>
      <c r="F27" s="9"/>
      <c r="G27" s="9"/>
      <c r="H27" s="18" t="s">
        <v>117</v>
      </c>
      <c r="I27" s="9">
        <f>IF(COUNT(I25:I26)&lt;2,"",I25/I26)</f>
        <v>0</v>
      </c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16" t="s">
        <v>123</v>
      </c>
      <c r="B30" s="16"/>
      <c r="C30" s="16"/>
      <c r="D30" s="16"/>
      <c r="E30" s="16"/>
      <c r="F30" s="16"/>
      <c r="G30" s="16"/>
      <c r="H30" s="16"/>
      <c r="I30" s="16"/>
      <c r="J30" s="3"/>
      <c r="K30" s="3"/>
    </row>
    <row r="31" spans="1:11" ht="15">
      <c r="A31" s="5"/>
      <c r="B31" s="5" t="s">
        <v>119</v>
      </c>
      <c r="C31" s="5" t="s">
        <v>120</v>
      </c>
      <c r="D31" s="5" t="s">
        <v>121</v>
      </c>
      <c r="E31" s="5" t="s">
        <v>122</v>
      </c>
      <c r="F31" s="5" t="s">
        <v>111</v>
      </c>
      <c r="G31" s="5" t="s">
        <v>112</v>
      </c>
      <c r="H31" s="5" t="s">
        <v>113</v>
      </c>
      <c r="I31" s="5" t="s">
        <v>114</v>
      </c>
      <c r="J31" s="3"/>
      <c r="K31" s="3"/>
    </row>
    <row r="32" spans="1:11" ht="15">
      <c r="A32" s="5" t="s">
        <v>119</v>
      </c>
      <c r="B32" s="9">
        <v>1</v>
      </c>
      <c r="C32" s="9">
        <f>Числовые_ответы!X3</f>
        <v>0.14285714285714285</v>
      </c>
      <c r="D32" s="9">
        <f>Числовые_ответы!Y3</f>
        <v>0.2</v>
      </c>
      <c r="E32" s="9">
        <f>Числовые_ответы!Z3</f>
        <v>0.33333333333333331</v>
      </c>
      <c r="F32" s="9">
        <f>IF(COUNT(B32:E32)&lt;4,"",PRODUCT(B32:E32)^(1/4))</f>
        <v>0.31239399369202558</v>
      </c>
      <c r="G32" s="9">
        <f>IF(F36="","",F32/F36)</f>
        <v>5.9323651273794374E-2</v>
      </c>
      <c r="H32" s="9">
        <f>IF(G32="","",B32*$G$32 + C32*$G$33 + D32*$G$34 + E32*$G$35)</f>
        <v>0.24220704473146576</v>
      </c>
      <c r="I32" s="9">
        <f>IFERROR(H32/G32,"")</f>
        <v>4.0828074390366842</v>
      </c>
      <c r="J32" s="3"/>
      <c r="K32" s="3"/>
    </row>
    <row r="33" spans="1:11" ht="15">
      <c r="A33" s="5" t="s">
        <v>120</v>
      </c>
      <c r="B33" s="9">
        <f>IF(C32="","",1/C32)</f>
        <v>7</v>
      </c>
      <c r="C33" s="9">
        <v>1</v>
      </c>
      <c r="D33" s="9">
        <f>Числовые_ответы!AA3</f>
        <v>3</v>
      </c>
      <c r="E33" s="9">
        <f>Числовые_ответы!AB3</f>
        <v>3</v>
      </c>
      <c r="F33" s="9">
        <f>IF(COUNT(B33:E33)&lt;4,"",PRODUCT(B33:E33)^(1/4))</f>
        <v>2.8173132472612576</v>
      </c>
      <c r="G33" s="9">
        <f>IF(F36="","",F33/F36)</f>
        <v>0.53500807308842457</v>
      </c>
      <c r="H33" s="9">
        <f>IF(G33="","",B33*$G$32 + C33*$G$33 + D33*$G$34 + E33*$G$35)</f>
        <v>2.1672784589183287</v>
      </c>
      <c r="I33" s="9">
        <f>IFERROR(H33/G33,"")</f>
        <v>4.0509266456622743</v>
      </c>
      <c r="J33" s="3"/>
      <c r="K33" s="3"/>
    </row>
    <row r="34" spans="1:11" ht="15">
      <c r="A34" s="5" t="s">
        <v>121</v>
      </c>
      <c r="B34" s="9">
        <f>IF(D32="","",1/D32)</f>
        <v>5</v>
      </c>
      <c r="C34" s="9">
        <f>IF(D33="","",1/D33)</f>
        <v>0.33333333333333331</v>
      </c>
      <c r="D34" s="9">
        <v>1</v>
      </c>
      <c r="E34" s="9">
        <f>Числовые_ответы!AC3</f>
        <v>1</v>
      </c>
      <c r="F34" s="9">
        <f>IF(COUNT(B34:E34)&lt;4,"",PRODUCT(B34:E34)^(1/4))</f>
        <v>1.1362193664674993</v>
      </c>
      <c r="G34" s="9">
        <f>IF(F36="","",F34/F36)</f>
        <v>0.2157681736138006</v>
      </c>
      <c r="H34" s="9">
        <f>IF(G34="","",B34*$G$32 + C34*$G$33 + D34*$G$34 + E34*$G$35)</f>
        <v>0.8806225563695611</v>
      </c>
      <c r="I34" s="9">
        <f>IFERROR(H34/G34,"")</f>
        <v>4.0813366569333382</v>
      </c>
      <c r="J34" s="3"/>
      <c r="K34" s="3"/>
    </row>
    <row r="35" spans="1:11" ht="15">
      <c r="A35" s="5" t="s">
        <v>122</v>
      </c>
      <c r="B35" s="9">
        <f>IF(E32="","",1/E32)</f>
        <v>3</v>
      </c>
      <c r="C35" s="9">
        <f>IF(E33="","",1/E33)</f>
        <v>0.33333333333333331</v>
      </c>
      <c r="D35" s="9">
        <f>IF(E34="","",1/E34)</f>
        <v>1</v>
      </c>
      <c r="E35" s="9">
        <v>1</v>
      </c>
      <c r="F35" s="9">
        <f>IF(COUNT(B35:E35)&lt;4,"",PRODUCT(B35:E35)^(1/4))</f>
        <v>1</v>
      </c>
      <c r="G35" s="9">
        <f>IF(F36="","",F35/F36)</f>
        <v>0.18990010202398047</v>
      </c>
      <c r="H35" s="9">
        <f>IF(G35="","",B35*$G$32 + C35*$G$33 + D35*$G$34 + E35*$G$35)</f>
        <v>0.7619752538219724</v>
      </c>
      <c r="I35" s="9">
        <f>IFERROR(H35/G35,"")</f>
        <v>4.0125057632973293</v>
      </c>
      <c r="J35" s="3"/>
      <c r="K35" s="3"/>
    </row>
    <row r="36" spans="1:11" ht="15">
      <c r="A36" s="3"/>
      <c r="B36" s="17"/>
      <c r="C36" s="17"/>
      <c r="D36" s="17"/>
      <c r="E36" s="17"/>
      <c r="F36" s="9">
        <f>IF(COUNT(F32:F35)&lt;4,"",SUM(F32:F35))</f>
        <v>5.2659266074207824</v>
      </c>
      <c r="G36" s="9">
        <f>IF(COUNT(G32:G35)&lt;4,"",SUM(G32:G35))</f>
        <v>1</v>
      </c>
      <c r="H36" s="18" t="s">
        <v>115</v>
      </c>
      <c r="I36" s="9">
        <f>IF(COUNT(I32:I35)&lt;4,"",AVERAGE(I32:I35))</f>
        <v>4.0568941262324065</v>
      </c>
      <c r="J36" s="3"/>
      <c r="K36" s="3"/>
    </row>
    <row r="37" spans="1:11" ht="15">
      <c r="A37" s="3"/>
      <c r="B37" s="17"/>
      <c r="C37" s="17"/>
      <c r="D37" s="17"/>
      <c r="E37" s="17"/>
      <c r="F37" s="9"/>
      <c r="G37" s="9"/>
      <c r="H37" s="18" t="s">
        <v>116</v>
      </c>
      <c r="I37" s="9">
        <f>IF(I36="","",(I36-4)/(4-1))</f>
        <v>1.896470874413551E-2</v>
      </c>
      <c r="J37" s="3"/>
      <c r="K37" s="3"/>
    </row>
    <row r="38" spans="1:11" ht="15">
      <c r="A38" s="3"/>
      <c r="B38" s="17"/>
      <c r="C38" s="17"/>
      <c r="D38" s="17"/>
      <c r="E38" s="17"/>
      <c r="F38" s="9"/>
      <c r="G38" s="9"/>
      <c r="H38" s="18" t="s">
        <v>14</v>
      </c>
      <c r="I38" s="9">
        <f>VLOOKUP(4,Шкала_Саати!$D$4:$E$13,2,FALSE)</f>
        <v>0.9</v>
      </c>
      <c r="J38" s="3"/>
      <c r="K38" s="3"/>
    </row>
    <row r="39" spans="1:11" ht="15">
      <c r="A39" s="3"/>
      <c r="B39" s="17"/>
      <c r="C39" s="17"/>
      <c r="D39" s="17"/>
      <c r="E39" s="17"/>
      <c r="F39" s="9"/>
      <c r="G39" s="9"/>
      <c r="H39" s="18" t="s">
        <v>117</v>
      </c>
      <c r="I39" s="9">
        <f>IF(COUNT(I37:I38)&lt;2,"",I37/I38)</f>
        <v>2.1071898604595012E-2</v>
      </c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16" t="s">
        <v>124</v>
      </c>
      <c r="B42" s="16"/>
      <c r="C42" s="16"/>
      <c r="D42" s="16"/>
      <c r="E42" s="16"/>
      <c r="F42" s="16"/>
      <c r="G42" s="16"/>
      <c r="H42" s="16"/>
      <c r="I42" s="16"/>
      <c r="J42" s="3"/>
      <c r="K42" s="3"/>
    </row>
    <row r="43" spans="1:11" ht="15">
      <c r="A43" s="5"/>
      <c r="B43" s="5" t="s">
        <v>119</v>
      </c>
      <c r="C43" s="5" t="s">
        <v>120</v>
      </c>
      <c r="D43" s="5" t="s">
        <v>121</v>
      </c>
      <c r="E43" s="5" t="s">
        <v>122</v>
      </c>
      <c r="F43" s="5" t="s">
        <v>111</v>
      </c>
      <c r="G43" s="5" t="s">
        <v>112</v>
      </c>
      <c r="H43" s="5" t="s">
        <v>113</v>
      </c>
      <c r="I43" s="5" t="s">
        <v>114</v>
      </c>
      <c r="J43" s="3"/>
      <c r="K43" s="3"/>
    </row>
    <row r="44" spans="1:11" ht="15">
      <c r="A44" s="5" t="s">
        <v>119</v>
      </c>
      <c r="B44" s="9">
        <v>1</v>
      </c>
      <c r="C44" s="9">
        <f>Числовые_ответы!AD3</f>
        <v>3</v>
      </c>
      <c r="D44" s="9">
        <f>Числовые_ответы!AE3</f>
        <v>1</v>
      </c>
      <c r="E44" s="9">
        <f>Числовые_ответы!AF3</f>
        <v>1</v>
      </c>
      <c r="F44" s="9">
        <f>IF(COUNT(B44:E44)&lt;4,"",PRODUCT(B44:E44)^(1/4))</f>
        <v>1.3160740129524926</v>
      </c>
      <c r="G44" s="9">
        <f>IF(F48="","",F44/F48)</f>
        <v>0.3</v>
      </c>
      <c r="H44" s="9">
        <f>IF(G44="","",B44*$G$44 + C44*$G$45 + D44*$G$46 + E44*$G$47)</f>
        <v>1.2</v>
      </c>
      <c r="I44" s="9">
        <f>IFERROR(H44/G44,"")</f>
        <v>4</v>
      </c>
      <c r="J44" s="3"/>
      <c r="K44" s="3"/>
    </row>
    <row r="45" spans="1:11" ht="15">
      <c r="A45" s="5" t="s">
        <v>120</v>
      </c>
      <c r="B45" s="9">
        <f>IF(C44="","",1/C44)</f>
        <v>0.33333333333333331</v>
      </c>
      <c r="C45" s="9">
        <v>1</v>
      </c>
      <c r="D45" s="9">
        <f>Числовые_ответы!AG3</f>
        <v>0.33333333333333331</v>
      </c>
      <c r="E45" s="9">
        <f>Числовые_ответы!AH3</f>
        <v>0.33333333333333331</v>
      </c>
      <c r="F45" s="9">
        <f>IF(COUNT(B45:E45)&lt;4,"",PRODUCT(B45:E45)^(1/4))</f>
        <v>0.43869133765083079</v>
      </c>
      <c r="G45" s="9">
        <f>IF(F48="","",F45/F48)</f>
        <v>9.9999999999999978E-2</v>
      </c>
      <c r="H45" s="9">
        <f>IF(G45="","",B45*$G$44 + C45*$G$45 + D45*$G$46 + E45*$G$47)</f>
        <v>0.39999999999999991</v>
      </c>
      <c r="I45" s="9">
        <f>IFERROR(H45/G45,"")</f>
        <v>4</v>
      </c>
      <c r="J45" s="3"/>
      <c r="K45" s="3"/>
    </row>
    <row r="46" spans="1:11" ht="15">
      <c r="A46" s="5" t="s">
        <v>121</v>
      </c>
      <c r="B46" s="9">
        <f>IF(D44="","",1/D44)</f>
        <v>1</v>
      </c>
      <c r="C46" s="9">
        <f>IF(D45="","",1/D45)</f>
        <v>3</v>
      </c>
      <c r="D46" s="9">
        <v>1</v>
      </c>
      <c r="E46" s="9">
        <f>Числовые_ответы!AI3</f>
        <v>1</v>
      </c>
      <c r="F46" s="9">
        <f>IF(COUNT(B46:E46)&lt;4,"",PRODUCT(B46:E46)^(1/4))</f>
        <v>1.3160740129524926</v>
      </c>
      <c r="G46" s="9">
        <f>IF(F48="","",F46/F48)</f>
        <v>0.3</v>
      </c>
      <c r="H46" s="9">
        <f>IF(G46="","",B46*$G$44 + C46*$G$45 + D46*$G$46 + E46*$G$47)</f>
        <v>1.2</v>
      </c>
      <c r="I46" s="9">
        <f>IFERROR(H46/G46,"")</f>
        <v>4</v>
      </c>
      <c r="J46" s="3"/>
      <c r="K46" s="3"/>
    </row>
    <row r="47" spans="1:11" ht="15">
      <c r="A47" s="5" t="s">
        <v>122</v>
      </c>
      <c r="B47" s="9">
        <f>IF(E44="","",1/E44)</f>
        <v>1</v>
      </c>
      <c r="C47" s="9">
        <f>IF(E45="","",1/E45)</f>
        <v>3</v>
      </c>
      <c r="D47" s="9">
        <f>IF(E46="","",1/E46)</f>
        <v>1</v>
      </c>
      <c r="E47" s="9">
        <v>1</v>
      </c>
      <c r="F47" s="9">
        <f>IF(COUNT(B47:E47)&lt;4,"",PRODUCT(B47:E47)^(1/4))</f>
        <v>1.3160740129524926</v>
      </c>
      <c r="G47" s="9">
        <f>IF(F48="","",F47/F48)</f>
        <v>0.3</v>
      </c>
      <c r="H47" s="9">
        <f>IF(G47="","",B47*$G$44 + C47*$G$45 + D47*$G$46 + E47*$G$47)</f>
        <v>1.2</v>
      </c>
      <c r="I47" s="9">
        <f>IFERROR(H47/G47,"")</f>
        <v>4</v>
      </c>
      <c r="J47" s="3"/>
      <c r="K47" s="3"/>
    </row>
    <row r="48" spans="1:11" ht="15">
      <c r="A48" s="3"/>
      <c r="B48" s="17"/>
      <c r="C48" s="17"/>
      <c r="D48" s="17"/>
      <c r="E48" s="17"/>
      <c r="F48" s="9">
        <f>IF(COUNT(F44:F47)&lt;4,"",SUM(F44:F47))</f>
        <v>4.3869133765083088</v>
      </c>
      <c r="G48" s="9">
        <f>IF(COUNT(G44:G47)&lt;4,"",SUM(G44:G47))</f>
        <v>1</v>
      </c>
      <c r="H48" s="18" t="s">
        <v>115</v>
      </c>
      <c r="I48" s="9">
        <f>IF(COUNT(I44:I47)&lt;4,"",AVERAGE(I44:I47))</f>
        <v>4</v>
      </c>
      <c r="J48" s="3"/>
      <c r="K48" s="3"/>
    </row>
    <row r="49" spans="1:11" ht="15">
      <c r="A49" s="3"/>
      <c r="B49" s="17"/>
      <c r="C49" s="17"/>
      <c r="D49" s="17"/>
      <c r="E49" s="17"/>
      <c r="F49" s="9"/>
      <c r="G49" s="9"/>
      <c r="H49" s="18" t="s">
        <v>116</v>
      </c>
      <c r="I49" s="9">
        <f>IF(I48="","",(I48-4)/(4-1))</f>
        <v>0</v>
      </c>
      <c r="J49" s="3"/>
      <c r="K49" s="3"/>
    </row>
    <row r="50" spans="1:11" ht="15">
      <c r="A50" s="3"/>
      <c r="B50" s="17"/>
      <c r="C50" s="17"/>
      <c r="D50" s="17"/>
      <c r="E50" s="17"/>
      <c r="F50" s="9"/>
      <c r="G50" s="9"/>
      <c r="H50" s="18" t="s">
        <v>14</v>
      </c>
      <c r="I50" s="9">
        <f>VLOOKUP(4,Шкала_Саати!$D$4:$E$13,2,FALSE)</f>
        <v>0.9</v>
      </c>
      <c r="J50" s="3"/>
      <c r="K50" s="3"/>
    </row>
    <row r="51" spans="1:11" ht="15">
      <c r="A51" s="3"/>
      <c r="B51" s="17"/>
      <c r="C51" s="17"/>
      <c r="D51" s="17"/>
      <c r="E51" s="17"/>
      <c r="F51" s="9"/>
      <c r="G51" s="9"/>
      <c r="H51" s="18" t="s">
        <v>117</v>
      </c>
      <c r="I51" s="9">
        <f>IF(COUNT(I49:I50)&lt;2,"",I49/I50)</f>
        <v>0</v>
      </c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16" t="s">
        <v>125</v>
      </c>
      <c r="B54" s="16"/>
      <c r="C54" s="16"/>
      <c r="D54" s="16"/>
      <c r="E54" s="16"/>
      <c r="F54" s="16"/>
      <c r="G54" s="16"/>
      <c r="H54" s="16"/>
      <c r="I54" s="16"/>
      <c r="J54" s="3"/>
      <c r="K54" s="3"/>
    </row>
    <row r="55" spans="1:11" ht="15">
      <c r="A55" s="5"/>
      <c r="B55" s="5" t="s">
        <v>119</v>
      </c>
      <c r="C55" s="5" t="s">
        <v>120</v>
      </c>
      <c r="D55" s="5" t="s">
        <v>121</v>
      </c>
      <c r="E55" s="5" t="s">
        <v>122</v>
      </c>
      <c r="F55" s="5" t="s">
        <v>111</v>
      </c>
      <c r="G55" s="5" t="s">
        <v>112</v>
      </c>
      <c r="H55" s="5" t="s">
        <v>113</v>
      </c>
      <c r="I55" s="5" t="s">
        <v>114</v>
      </c>
      <c r="J55" s="3"/>
      <c r="K55" s="3"/>
    </row>
    <row r="56" spans="1:11" ht="15">
      <c r="A56" s="5" t="s">
        <v>119</v>
      </c>
      <c r="B56" s="9">
        <v>1</v>
      </c>
      <c r="C56" s="9">
        <f>Числовые_ответы!AJ3</f>
        <v>0.14285714285714285</v>
      </c>
      <c r="D56" s="9">
        <f>Числовые_ответы!AK3</f>
        <v>0.2</v>
      </c>
      <c r="E56" s="9">
        <f>Числовые_ответы!AL3</f>
        <v>0.2</v>
      </c>
      <c r="F56" s="9">
        <f>IF(COUNT(B56:E56)&lt;4,"",PRODUCT(B56:E56)^(1/4))</f>
        <v>0.274941620352113</v>
      </c>
      <c r="G56" s="9">
        <f>IF(F60="","",F56/F60)</f>
        <v>4.6505078087542367E-2</v>
      </c>
      <c r="H56" s="9">
        <f>IF(G56="","",B56*$G$56 + C56*$G$57 + D56*$G$58 + E56*$G$59)</f>
        <v>0.20204952780681207</v>
      </c>
      <c r="I56" s="9">
        <f>IFERROR(H56/G56,"")</f>
        <v>4.344676670071788</v>
      </c>
      <c r="J56" s="3"/>
      <c r="K56" s="3"/>
    </row>
    <row r="57" spans="1:11" ht="15">
      <c r="A57" s="5" t="s">
        <v>120</v>
      </c>
      <c r="B57" s="9">
        <f>IF(C56="","",1/C56)</f>
        <v>7</v>
      </c>
      <c r="C57" s="9">
        <v>1</v>
      </c>
      <c r="D57" s="9">
        <f>Числовые_ответы!AM3</f>
        <v>5</v>
      </c>
      <c r="E57" s="9">
        <f>Числовые_ответы!AN3</f>
        <v>5</v>
      </c>
      <c r="F57" s="9">
        <f>IF(COUNT(B57:E57)&lt;4,"",PRODUCT(B57:E57)^(1/4))</f>
        <v>3.6371357625641298</v>
      </c>
      <c r="G57" s="9">
        <f>IF(F60="","",F57/F60)</f>
        <v>0.61520435660638195</v>
      </c>
      <c r="H57" s="9">
        <f>IF(G57="","",B57*$G$56 + C57*$G$57 + D57*$G$58 + E57*$G$59)</f>
        <v>2.6321927297495566</v>
      </c>
      <c r="I57" s="9">
        <f>IFERROR(H57/G57,"")</f>
        <v>4.2785664657340483</v>
      </c>
      <c r="J57" s="3"/>
      <c r="K57" s="3"/>
    </row>
    <row r="58" spans="1:11" ht="15">
      <c r="A58" s="5" t="s">
        <v>121</v>
      </c>
      <c r="B58" s="9">
        <f>IF(D56="","",1/D56)</f>
        <v>5</v>
      </c>
      <c r="C58" s="9">
        <f>IF(D57="","",1/D57)</f>
        <v>0.2</v>
      </c>
      <c r="D58" s="9">
        <v>1</v>
      </c>
      <c r="E58" s="9">
        <f>Числовые_ответы!AO3</f>
        <v>1</v>
      </c>
      <c r="F58" s="9">
        <f>IF(COUNT(B58:E58)&lt;4,"",PRODUCT(B58:E58)^(1/4))</f>
        <v>1</v>
      </c>
      <c r="G58" s="9">
        <f>IF(F60="","",F58/F60)</f>
        <v>0.16914528265303783</v>
      </c>
      <c r="H58" s="9">
        <f>IF(G58="","",B58*$G$56 + C58*$G$57 + D58*$G$58 + E58*$G$59)</f>
        <v>0.69385682706506391</v>
      </c>
      <c r="I58" s="9">
        <f>IFERROR(H58/G58,"")</f>
        <v>4.1021352542733913</v>
      </c>
      <c r="J58" s="3"/>
      <c r="K58" s="3"/>
    </row>
    <row r="59" spans="1:11" ht="15">
      <c r="A59" s="5" t="s">
        <v>122</v>
      </c>
      <c r="B59" s="9">
        <f>IF(E56="","",1/E56)</f>
        <v>5</v>
      </c>
      <c r="C59" s="9">
        <f>IF(E57="","",1/E57)</f>
        <v>0.2</v>
      </c>
      <c r="D59" s="9">
        <f>IF(E58="","",1/E58)</f>
        <v>1</v>
      </c>
      <c r="E59" s="9">
        <v>1</v>
      </c>
      <c r="F59" s="9">
        <f>IF(COUNT(B59:E59)&lt;4,"",PRODUCT(B59:E59)^(1/4))</f>
        <v>1</v>
      </c>
      <c r="G59" s="9">
        <f>IF(F60="","",F59/F60)</f>
        <v>0.16914528265303783</v>
      </c>
      <c r="H59" s="9">
        <f>IF(G59="","",B59*$G$56 + C59*$G$57 + D59*$G$58 + E59*$G$59)</f>
        <v>0.69385682706506391</v>
      </c>
      <c r="I59" s="9">
        <f>IFERROR(H59/G59,"")</f>
        <v>4.1021352542733913</v>
      </c>
      <c r="J59" s="3"/>
      <c r="K59" s="3"/>
    </row>
    <row r="60" spans="1:11" ht="15">
      <c r="A60" s="3"/>
      <c r="B60" s="17"/>
      <c r="C60" s="17"/>
      <c r="D60" s="17"/>
      <c r="E60" s="17"/>
      <c r="F60" s="9">
        <f>IF(COUNT(F56:F59)&lt;4,"",SUM(F56:F59))</f>
        <v>5.9120773829162427</v>
      </c>
      <c r="G60" s="9">
        <f>IF(COUNT(G56:G59)&lt;4,"",SUM(G56:G59))</f>
        <v>1</v>
      </c>
      <c r="H60" s="18" t="s">
        <v>115</v>
      </c>
      <c r="I60" s="9">
        <f>IF(COUNT(I56:I59)&lt;4,"",AVERAGE(I56:I59))</f>
        <v>4.2068784110881552</v>
      </c>
      <c r="J60" s="3"/>
      <c r="K60" s="3"/>
    </row>
    <row r="61" spans="1:11" ht="15">
      <c r="A61" s="3"/>
      <c r="B61" s="17"/>
      <c r="C61" s="17"/>
      <c r="D61" s="17"/>
      <c r="E61" s="17"/>
      <c r="F61" s="9"/>
      <c r="G61" s="9"/>
      <c r="H61" s="18" t="s">
        <v>116</v>
      </c>
      <c r="I61" s="9">
        <f>IF(I60="","",(I60-4)/(4-1))</f>
        <v>6.8959470362718392E-2</v>
      </c>
      <c r="J61" s="3"/>
      <c r="K61" s="3"/>
    </row>
    <row r="62" spans="1:11" ht="15">
      <c r="A62" s="3"/>
      <c r="B62" s="17"/>
      <c r="C62" s="17"/>
      <c r="D62" s="17"/>
      <c r="E62" s="17"/>
      <c r="F62" s="9"/>
      <c r="G62" s="9"/>
      <c r="H62" s="18" t="s">
        <v>14</v>
      </c>
      <c r="I62" s="9">
        <f>VLOOKUP(4,Шкала_Саати!$D$4:$E$13,2,FALSE)</f>
        <v>0.9</v>
      </c>
      <c r="J62" s="3"/>
      <c r="K62" s="3"/>
    </row>
    <row r="63" spans="1:11" ht="15">
      <c r="A63" s="3"/>
      <c r="B63" s="17"/>
      <c r="C63" s="17"/>
      <c r="D63" s="17"/>
      <c r="E63" s="17"/>
      <c r="F63" s="9"/>
      <c r="G63" s="9"/>
      <c r="H63" s="18" t="s">
        <v>117</v>
      </c>
      <c r="I63" s="9">
        <f>IF(COUNT(I61:I62)&lt;2,"",I61/I62)</f>
        <v>7.6621633736353764E-2</v>
      </c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16" t="s">
        <v>126</v>
      </c>
      <c r="B66" s="16"/>
      <c r="C66" s="16"/>
      <c r="D66" s="16"/>
      <c r="E66" s="16"/>
      <c r="F66" s="16"/>
      <c r="G66" s="16"/>
      <c r="H66" s="16"/>
      <c r="I66" s="16"/>
      <c r="J66" s="3"/>
      <c r="K66" s="3"/>
    </row>
    <row r="67" spans="1:11" ht="15">
      <c r="A67" s="5"/>
      <c r="B67" s="5" t="s">
        <v>119</v>
      </c>
      <c r="C67" s="5" t="s">
        <v>120</v>
      </c>
      <c r="D67" s="5" t="s">
        <v>121</v>
      </c>
      <c r="E67" s="5" t="s">
        <v>122</v>
      </c>
      <c r="F67" s="5" t="s">
        <v>111</v>
      </c>
      <c r="G67" s="5" t="s">
        <v>112</v>
      </c>
      <c r="H67" s="5" t="s">
        <v>113</v>
      </c>
      <c r="I67" s="5" t="s">
        <v>114</v>
      </c>
      <c r="J67" s="3"/>
      <c r="K67" s="3"/>
    </row>
    <row r="68" spans="1:11" ht="15">
      <c r="A68" s="5" t="s">
        <v>119</v>
      </c>
      <c r="B68" s="9">
        <v>1</v>
      </c>
      <c r="C68" s="9">
        <f>Числовые_ответы!AP3</f>
        <v>0.33333333333333331</v>
      </c>
      <c r="D68" s="9">
        <f>Числовые_ответы!AQ3</f>
        <v>0.33333333333333331</v>
      </c>
      <c r="E68" s="9">
        <f>Числовые_ответы!AR3</f>
        <v>3</v>
      </c>
      <c r="F68" s="9">
        <f>IF(COUNT(B68:E68)&lt;4,"",PRODUCT(B68:E68)^(1/4))</f>
        <v>0.75983568565159254</v>
      </c>
      <c r="G68" s="9">
        <f>IF(F72="","",F68/F72)</f>
        <v>0.15089206505259317</v>
      </c>
      <c r="H68" s="9">
        <f>IF(G68="","",B68*$G$68 + C68*$G$69 + D68*$G$70 + E68*$G$71)</f>
        <v>0.61387733122061872</v>
      </c>
      <c r="I68" s="9">
        <f>IFERROR(H68/G68,"")</f>
        <v>4.0683208292407746</v>
      </c>
      <c r="J68" s="3"/>
      <c r="K68" s="3"/>
    </row>
    <row r="69" spans="1:11" ht="15">
      <c r="A69" s="5" t="s">
        <v>120</v>
      </c>
      <c r="B69" s="9">
        <f>IF(C68="","",1/C68)</f>
        <v>3</v>
      </c>
      <c r="C69" s="9">
        <v>1</v>
      </c>
      <c r="D69" s="9">
        <f>Числовые_ответы!AS3</f>
        <v>1</v>
      </c>
      <c r="E69" s="9">
        <f>Числовые_ответы!AT3</f>
        <v>5</v>
      </c>
      <c r="F69" s="9">
        <f>IF(COUNT(B69:E69)&lt;4,"",PRODUCT(B69:E69)^(1/4))</f>
        <v>1.9679896712654303</v>
      </c>
      <c r="G69" s="9">
        <f>IF(F72="","",F69/F72)</f>
        <v>0.39081347600141159</v>
      </c>
      <c r="H69" s="9">
        <f>IF(G69="","",B69*$G$68 + C69*$G$69 + D69*$G$70 + E69*$G$71)</f>
        <v>1.5717080618835213</v>
      </c>
      <c r="I69" s="9">
        <f>IFERROR(H69/G69,"")</f>
        <v>4.0216322066587189</v>
      </c>
      <c r="J69" s="3"/>
      <c r="K69" s="3"/>
    </row>
    <row r="70" spans="1:11" ht="15">
      <c r="A70" s="5" t="s">
        <v>121</v>
      </c>
      <c r="B70" s="9">
        <f>IF(D68="","",1/D68)</f>
        <v>3</v>
      </c>
      <c r="C70" s="9">
        <f>IF(D69="","",1/D69)</f>
        <v>1</v>
      </c>
      <c r="D70" s="9">
        <v>1</v>
      </c>
      <c r="E70" s="9">
        <f>Числовые_ответы!AU3</f>
        <v>5</v>
      </c>
      <c r="F70" s="9">
        <f>IF(COUNT(B70:E70)&lt;4,"",PRODUCT(B70:E70)^(1/4))</f>
        <v>1.9679896712654303</v>
      </c>
      <c r="G70" s="9">
        <f>IF(F72="","",F70/F72)</f>
        <v>0.39081347600141159</v>
      </c>
      <c r="H70" s="9">
        <f>IF(G70="","",B70*$G$68 + C70*$G$69 + D70*$G$70 + E70*$G$71)</f>
        <v>1.5717080618835213</v>
      </c>
      <c r="I70" s="9">
        <f>IFERROR(H70/G70,"")</f>
        <v>4.0216322066587189</v>
      </c>
      <c r="J70" s="3"/>
      <c r="K70" s="3"/>
    </row>
    <row r="71" spans="1:11" ht="15">
      <c r="A71" s="5" t="s">
        <v>122</v>
      </c>
      <c r="B71" s="9">
        <f>IF(E68="","",1/E68)</f>
        <v>0.33333333333333331</v>
      </c>
      <c r="C71" s="9">
        <f>IF(E69="","",1/E69)</f>
        <v>0.2</v>
      </c>
      <c r="D71" s="9">
        <f>IF(E70="","",1/E70)</f>
        <v>0.2</v>
      </c>
      <c r="E71" s="9">
        <v>1</v>
      </c>
      <c r="F71" s="9">
        <f>IF(COUNT(B71:E71)&lt;4,"",PRODUCT(B71:E71)^(1/4))</f>
        <v>0.33980884896942454</v>
      </c>
      <c r="G71" s="9">
        <f>IF(F72="","",F71/F72)</f>
        <v>6.7480982944583753E-2</v>
      </c>
      <c r="H71" s="9">
        <f>IF(G71="","",B71*$G$68 + C71*$G$69 + D71*$G$70 + E71*$G$71)</f>
        <v>0.27410372836267943</v>
      </c>
      <c r="I71" s="9">
        <f>IFERROR(H71/G71,"")</f>
        <v>4.0619403630764674</v>
      </c>
      <c r="J71" s="3"/>
      <c r="K71" s="3"/>
    </row>
    <row r="72" spans="1:11" ht="15">
      <c r="A72" s="3"/>
      <c r="B72" s="17"/>
      <c r="C72" s="17"/>
      <c r="D72" s="17"/>
      <c r="E72" s="17"/>
      <c r="F72" s="9">
        <f>IF(COUNT(F68:F71)&lt;4,"",SUM(F68:F71))</f>
        <v>5.0356238771518775</v>
      </c>
      <c r="G72" s="9">
        <f>IF(COUNT(G68:G71)&lt;4,"",SUM(G68:G71))</f>
        <v>1.0000000000000002</v>
      </c>
      <c r="H72" s="18" t="s">
        <v>115</v>
      </c>
      <c r="I72" s="9">
        <f>IF(COUNT(I68:I71)&lt;4,"",AVERAGE(I68:I71))</f>
        <v>4.04338140140867</v>
      </c>
      <c r="J72" s="3"/>
      <c r="K72" s="3"/>
    </row>
    <row r="73" spans="1:11" ht="15">
      <c r="A73" s="3"/>
      <c r="B73" s="17"/>
      <c r="C73" s="17"/>
      <c r="D73" s="17"/>
      <c r="E73" s="17"/>
      <c r="F73" s="9"/>
      <c r="G73" s="9"/>
      <c r="H73" s="18" t="s">
        <v>116</v>
      </c>
      <c r="I73" s="9">
        <f>IF(I72="","",(I72-4)/(4-1))</f>
        <v>1.4460467136223324E-2</v>
      </c>
      <c r="J73" s="3"/>
      <c r="K73" s="3"/>
    </row>
    <row r="74" spans="1:11" ht="15">
      <c r="A74" s="3"/>
      <c r="B74" s="17"/>
      <c r="C74" s="17"/>
      <c r="D74" s="17"/>
      <c r="E74" s="17"/>
      <c r="F74" s="9"/>
      <c r="G74" s="9"/>
      <c r="H74" s="18" t="s">
        <v>14</v>
      </c>
      <c r="I74" s="9">
        <f>VLOOKUP(4,Шкала_Саати!$D$4:$E$13,2,FALSE)</f>
        <v>0.9</v>
      </c>
      <c r="J74" s="3"/>
      <c r="K74" s="3"/>
    </row>
    <row r="75" spans="1:11" ht="15">
      <c r="A75" s="3"/>
      <c r="B75" s="17"/>
      <c r="C75" s="17"/>
      <c r="D75" s="17"/>
      <c r="E75" s="17"/>
      <c r="F75" s="9"/>
      <c r="G75" s="9"/>
      <c r="H75" s="18" t="s">
        <v>117</v>
      </c>
      <c r="I75" s="9">
        <f>IF(COUNT(I73:I74)&lt;2,"",I73/I74)</f>
        <v>1.6067185706914802E-2</v>
      </c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16" t="s">
        <v>127</v>
      </c>
      <c r="B78" s="16"/>
      <c r="C78" s="16"/>
      <c r="D78" s="16"/>
      <c r="E78" s="16"/>
      <c r="F78" s="16"/>
      <c r="G78" s="16"/>
      <c r="H78" s="16"/>
      <c r="I78" s="16"/>
      <c r="J78" s="3"/>
      <c r="K78" s="3"/>
    </row>
    <row r="79" spans="1:11" ht="15">
      <c r="A79" s="5"/>
      <c r="B79" s="5" t="s">
        <v>119</v>
      </c>
      <c r="C79" s="5" t="s">
        <v>120</v>
      </c>
      <c r="D79" s="5" t="s">
        <v>121</v>
      </c>
      <c r="E79" s="5" t="s">
        <v>122</v>
      </c>
      <c r="F79" s="5" t="s">
        <v>111</v>
      </c>
      <c r="G79" s="5" t="s">
        <v>112</v>
      </c>
      <c r="H79" s="5" t="s">
        <v>113</v>
      </c>
      <c r="I79" s="5" t="s">
        <v>114</v>
      </c>
      <c r="J79" s="3"/>
      <c r="K79" s="3"/>
    </row>
    <row r="80" spans="1:11" ht="15">
      <c r="A80" s="5" t="s">
        <v>119</v>
      </c>
      <c r="B80" s="9">
        <v>1</v>
      </c>
      <c r="C80" s="9">
        <f>Числовые_ответы!AV3</f>
        <v>0.33333333333333331</v>
      </c>
      <c r="D80" s="9">
        <f>Числовые_ответы!AW3</f>
        <v>0.33333333333333331</v>
      </c>
      <c r="E80" s="9">
        <f>Числовые_ответы!AX3</f>
        <v>3</v>
      </c>
      <c r="F80" s="9">
        <f>IF(COUNT(B80:E80)&lt;4,"",PRODUCT(B80:E80)^(1/4))</f>
        <v>0.75983568565159254</v>
      </c>
      <c r="G80" s="9">
        <f>IF(F84="","",F80/F84)</f>
        <v>0.15089206505259317</v>
      </c>
      <c r="H80" s="9">
        <f>IF(G80="","",B80*$G$80 + C80*$G$81 + D80*$G$82 + E80*$G$83)</f>
        <v>0.61387733122061872</v>
      </c>
      <c r="I80" s="9">
        <f>IFERROR(H80/G80,"")</f>
        <v>4.0683208292407746</v>
      </c>
      <c r="J80" s="3"/>
      <c r="K80" s="3"/>
    </row>
    <row r="81" spans="1:11" ht="15">
      <c r="A81" s="5" t="s">
        <v>120</v>
      </c>
      <c r="B81" s="9">
        <f>IF(C80="","",1/C80)</f>
        <v>3</v>
      </c>
      <c r="C81" s="9">
        <v>1</v>
      </c>
      <c r="D81" s="9">
        <f>Числовые_ответы!AY3</f>
        <v>1</v>
      </c>
      <c r="E81" s="9">
        <f>Числовые_ответы!AZ3</f>
        <v>5</v>
      </c>
      <c r="F81" s="9">
        <f>IF(COUNT(B81:E81)&lt;4,"",PRODUCT(B81:E81)^(1/4))</f>
        <v>1.9679896712654303</v>
      </c>
      <c r="G81" s="9">
        <f>IF(F84="","",F81/F84)</f>
        <v>0.39081347600141159</v>
      </c>
      <c r="H81" s="9">
        <f>IF(G81="","",B81*$G$80 + C81*$G$81 + D81*$G$82 + E81*$G$83)</f>
        <v>1.5717080618835213</v>
      </c>
      <c r="I81" s="9">
        <f>IFERROR(H81/G81,"")</f>
        <v>4.0216322066587189</v>
      </c>
      <c r="J81" s="3"/>
      <c r="K81" s="3"/>
    </row>
    <row r="82" spans="1:11" ht="15">
      <c r="A82" s="5" t="s">
        <v>121</v>
      </c>
      <c r="B82" s="9">
        <f>IF(D80="","",1/D80)</f>
        <v>3</v>
      </c>
      <c r="C82" s="9">
        <f>IF(D81="","",1/D81)</f>
        <v>1</v>
      </c>
      <c r="D82" s="9">
        <v>1</v>
      </c>
      <c r="E82" s="9">
        <f>Числовые_ответы!BA3</f>
        <v>5</v>
      </c>
      <c r="F82" s="9">
        <f>IF(COUNT(B82:E82)&lt;4,"",PRODUCT(B82:E82)^(1/4))</f>
        <v>1.9679896712654303</v>
      </c>
      <c r="G82" s="9">
        <f>IF(F84="","",F82/F84)</f>
        <v>0.39081347600141159</v>
      </c>
      <c r="H82" s="9">
        <f>IF(G82="","",B82*$G$80 + C82*$G$81 + D82*$G$82 + E82*$G$83)</f>
        <v>1.5717080618835213</v>
      </c>
      <c r="I82" s="9">
        <f>IFERROR(H82/G82,"")</f>
        <v>4.0216322066587189</v>
      </c>
      <c r="J82" s="3"/>
      <c r="K82" s="3"/>
    </row>
    <row r="83" spans="1:11" ht="15">
      <c r="A83" s="5" t="s">
        <v>122</v>
      </c>
      <c r="B83" s="9">
        <f>IF(E80="","",1/E80)</f>
        <v>0.33333333333333331</v>
      </c>
      <c r="C83" s="9">
        <f>IF(E81="","",1/E81)</f>
        <v>0.2</v>
      </c>
      <c r="D83" s="9">
        <f>IF(E82="","",1/E82)</f>
        <v>0.2</v>
      </c>
      <c r="E83" s="9">
        <v>1</v>
      </c>
      <c r="F83" s="9">
        <f>IF(COUNT(B83:E83)&lt;4,"",PRODUCT(B83:E83)^(1/4))</f>
        <v>0.33980884896942454</v>
      </c>
      <c r="G83" s="9">
        <f>IF(F84="","",F83/F84)</f>
        <v>6.7480982944583753E-2</v>
      </c>
      <c r="H83" s="9">
        <f>IF(G83="","",B83*$G$80 + C83*$G$81 + D83*$G$82 + E83*$G$83)</f>
        <v>0.27410372836267943</v>
      </c>
      <c r="I83" s="9">
        <f>IFERROR(H83/G83,"")</f>
        <v>4.0619403630764674</v>
      </c>
      <c r="J83" s="3"/>
      <c r="K83" s="3"/>
    </row>
    <row r="84" spans="1:11" ht="15">
      <c r="A84" s="3"/>
      <c r="B84" s="17"/>
      <c r="C84" s="17"/>
      <c r="D84" s="17"/>
      <c r="E84" s="17"/>
      <c r="F84" s="9">
        <f>IF(COUNT(F80:F83)&lt;4,"",SUM(F80:F83))</f>
        <v>5.0356238771518775</v>
      </c>
      <c r="G84" s="9">
        <f>IF(COUNT(G80:G83)&lt;4,"",SUM(G80:G83))</f>
        <v>1.0000000000000002</v>
      </c>
      <c r="H84" s="18" t="s">
        <v>115</v>
      </c>
      <c r="I84" s="9">
        <f>IF(COUNT(I80:I83)&lt;4,"",AVERAGE(I80:I83))</f>
        <v>4.04338140140867</v>
      </c>
      <c r="J84" s="3"/>
      <c r="K84" s="3"/>
    </row>
    <row r="85" spans="1:11" ht="15">
      <c r="A85" s="3"/>
      <c r="B85" s="17"/>
      <c r="C85" s="17"/>
      <c r="D85" s="17"/>
      <c r="E85" s="17"/>
      <c r="F85" s="9"/>
      <c r="G85" s="9"/>
      <c r="H85" s="18" t="s">
        <v>116</v>
      </c>
      <c r="I85" s="9">
        <f>IF(I84="","",(I84-4)/(4-1))</f>
        <v>1.4460467136223324E-2</v>
      </c>
      <c r="J85" s="3"/>
      <c r="K85" s="3"/>
    </row>
    <row r="86" spans="1:11" ht="15">
      <c r="A86" s="3"/>
      <c r="B86" s="17"/>
      <c r="C86" s="17"/>
      <c r="D86" s="17"/>
      <c r="E86" s="17"/>
      <c r="F86" s="9"/>
      <c r="G86" s="9"/>
      <c r="H86" s="18" t="s">
        <v>14</v>
      </c>
      <c r="I86" s="9">
        <f>VLOOKUP(4,Шкала_Саати!$D$4:$E$13,2,FALSE)</f>
        <v>0.9</v>
      </c>
      <c r="J86" s="3"/>
      <c r="K86" s="3"/>
    </row>
    <row r="87" spans="1:11" ht="15">
      <c r="A87" s="3"/>
      <c r="B87" s="17"/>
      <c r="C87" s="17"/>
      <c r="D87" s="17"/>
      <c r="E87" s="17"/>
      <c r="F87" s="9"/>
      <c r="G87" s="9"/>
      <c r="H87" s="18" t="s">
        <v>117</v>
      </c>
      <c r="I87" s="9">
        <f>IF(COUNT(I85:I86)&lt;2,"",I85/I86)</f>
        <v>1.6067185706914802E-2</v>
      </c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</sheetData>
  <mergeCells count="9">
    <mergeCell ref="A42:I42"/>
    <mergeCell ref="A54:I54"/>
    <mergeCell ref="A66:I66"/>
    <mergeCell ref="A78:I78"/>
    <mergeCell ref="A1:K1"/>
    <mergeCell ref="A2:K2"/>
    <mergeCell ref="A4:K4"/>
    <mergeCell ref="A18:I18"/>
    <mergeCell ref="A30:I30"/>
  </mergeCells>
  <conditionalFormatting sqref="I27">
    <cfRule type="cellIs" dxfId="43" priority="3" operator="greaterThan">
      <formula>0.1</formula>
    </cfRule>
    <cfRule type="cellIs" dxfId="42" priority="4" operator="lessThanOrEqual">
      <formula>0.1</formula>
    </cfRule>
  </conditionalFormatting>
  <conditionalFormatting sqref="I39">
    <cfRule type="cellIs" dxfId="41" priority="5" operator="greaterThan">
      <formula>0.1</formula>
    </cfRule>
    <cfRule type="cellIs" dxfId="40" priority="6" operator="lessThanOrEqual">
      <formula>0.1</formula>
    </cfRule>
  </conditionalFormatting>
  <conditionalFormatting sqref="I51">
    <cfRule type="cellIs" dxfId="39" priority="7" operator="greaterThan">
      <formula>0.1</formula>
    </cfRule>
    <cfRule type="cellIs" dxfId="38" priority="8" operator="lessThanOrEqual">
      <formula>0.1</formula>
    </cfRule>
  </conditionalFormatting>
  <conditionalFormatting sqref="I63">
    <cfRule type="cellIs" dxfId="37" priority="9" operator="greaterThan">
      <formula>0.1</formula>
    </cfRule>
    <cfRule type="cellIs" dxfId="36" priority="10" operator="lessThanOrEqual">
      <formula>0.1</formula>
    </cfRule>
  </conditionalFormatting>
  <conditionalFormatting sqref="I75">
    <cfRule type="cellIs" dxfId="35" priority="11" operator="greaterThan">
      <formula>0.1</formula>
    </cfRule>
    <cfRule type="cellIs" dxfId="34" priority="12" operator="lessThanOrEqual">
      <formula>0.1</formula>
    </cfRule>
  </conditionalFormatting>
  <conditionalFormatting sqref="I87">
    <cfRule type="cellIs" dxfId="33" priority="13" operator="greaterThan">
      <formula>0.1</formula>
    </cfRule>
    <cfRule type="cellIs" dxfId="32" priority="14" operator="lessThanOrEqual">
      <formula>0.1</formula>
    </cfRule>
  </conditionalFormatting>
  <conditionalFormatting sqref="K15">
    <cfRule type="cellIs" dxfId="31" priority="1" operator="greaterThan">
      <formula>0.1</formula>
    </cfRule>
    <cfRule type="cellIs" dxfId="30" priority="2" operator="lessThanOrEqual">
      <formula>0.1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0"/>
  <sheetViews>
    <sheetView zoomScale="69" zoomScaleNormal="63" workbookViewId="0">
      <pane ySplit="2" topLeftCell="A3" activePane="bottomLeft" state="frozen"/>
      <selection pane="bottomLeft" sqref="A1:K1"/>
    </sheetView>
  </sheetViews>
  <sheetFormatPr baseColWidth="10" defaultColWidth="8.83203125" defaultRowHeight="14"/>
  <cols>
    <col min="1" max="1" width="14" style="8" customWidth="1"/>
    <col min="2" max="7" width="11" style="8" customWidth="1"/>
    <col min="8" max="11" width="14" style="8" customWidth="1"/>
    <col min="12" max="16384" width="8.83203125" style="8"/>
  </cols>
  <sheetData>
    <row r="1" spans="1:11" ht="18">
      <c r="A1" s="6" t="s">
        <v>129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15" t="s">
        <v>103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16" t="s">
        <v>104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5">
      <c r="A5" s="5"/>
      <c r="B5" s="5" t="s">
        <v>105</v>
      </c>
      <c r="C5" s="5" t="s">
        <v>106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113</v>
      </c>
      <c r="K5" s="5" t="s">
        <v>114</v>
      </c>
    </row>
    <row r="6" spans="1:11" ht="15">
      <c r="A6" s="5" t="s">
        <v>105</v>
      </c>
      <c r="B6" s="9">
        <v>1</v>
      </c>
      <c r="C6" s="9">
        <f>Числовые_ответы!C4</f>
        <v>7</v>
      </c>
      <c r="D6" s="9">
        <f>Числовые_ответы!D4</f>
        <v>5</v>
      </c>
      <c r="E6" s="9">
        <f>Числовые_ответы!E4</f>
        <v>1</v>
      </c>
      <c r="F6" s="9">
        <f>Числовые_ответы!F4</f>
        <v>7</v>
      </c>
      <c r="G6" s="9">
        <f>Числовые_ответы!G4</f>
        <v>7</v>
      </c>
      <c r="H6" s="9">
        <f t="shared" ref="H6:H11" si="0">IF(COUNT(B6:G6)&lt;6,"",PRODUCT(B6:G6)^(1/6))</f>
        <v>3.4597444452931598</v>
      </c>
      <c r="I6" s="9">
        <f>IF(H12="","",H6/H12)</f>
        <v>0.36434014447402457</v>
      </c>
      <c r="J6" s="9">
        <f t="shared" ref="J6:J11" si="1">IF(I6="","",B6*$I$6 + C6*$I$7 + D6*$I$8 + E6*$I$9 + F6*$I$10 + G6*$I$11)</f>
        <v>2.4210818411242299</v>
      </c>
      <c r="K6" s="9">
        <f t="shared" ref="K6:K11" si="2">IFERROR(J6/I6,"")</f>
        <v>6.6451141271280898</v>
      </c>
    </row>
    <row r="7" spans="1:11" ht="15">
      <c r="A7" s="5" t="s">
        <v>106</v>
      </c>
      <c r="B7" s="9">
        <f>IF(C6="","",1/C6)</f>
        <v>0.14285714285714285</v>
      </c>
      <c r="C7" s="9">
        <v>1</v>
      </c>
      <c r="D7" s="9">
        <f>Числовые_ответы!H4</f>
        <v>3</v>
      </c>
      <c r="E7" s="9">
        <f>Числовые_ответы!I4</f>
        <v>0.14285714285714285</v>
      </c>
      <c r="F7" s="9">
        <f>Числовые_ответы!J4</f>
        <v>7</v>
      </c>
      <c r="G7" s="9">
        <f>Числовые_ответы!K4</f>
        <v>5</v>
      </c>
      <c r="H7" s="9">
        <f t="shared" si="0"/>
        <v>1.1354435210037079</v>
      </c>
      <c r="I7" s="9">
        <f>IF(H12="","",H7/H12)</f>
        <v>0.11957173803614055</v>
      </c>
      <c r="J7" s="9">
        <f t="shared" si="1"/>
        <v>0.87919571631861415</v>
      </c>
      <c r="K7" s="9">
        <f t="shared" si="2"/>
        <v>7.3528722652912961</v>
      </c>
    </row>
    <row r="8" spans="1:11" ht="15">
      <c r="A8" s="5" t="s">
        <v>107</v>
      </c>
      <c r="B8" s="9">
        <f>IF(D6="","",1/D6)</f>
        <v>0.2</v>
      </c>
      <c r="C8" s="9">
        <f>IF(D7="","",1/D7)</f>
        <v>0.33333333333333331</v>
      </c>
      <c r="D8" s="9">
        <v>1</v>
      </c>
      <c r="E8" s="9">
        <f>Числовые_ответы!L4</f>
        <v>0.14285714285714285</v>
      </c>
      <c r="F8" s="9">
        <f>Числовые_ответы!M4</f>
        <v>1</v>
      </c>
      <c r="G8" s="9">
        <f>Числовые_ответы!N4</f>
        <v>0.33333333333333331</v>
      </c>
      <c r="H8" s="9">
        <f t="shared" si="0"/>
        <v>0.38336716009084959</v>
      </c>
      <c r="I8" s="9">
        <f>IF(H12="","",H8/H12)</f>
        <v>4.0371781414121545E-2</v>
      </c>
      <c r="J8" s="9">
        <f t="shared" si="1"/>
        <v>0.26480331964019532</v>
      </c>
      <c r="K8" s="9">
        <f t="shared" si="2"/>
        <v>6.559119027320663</v>
      </c>
    </row>
    <row r="9" spans="1:11" ht="15">
      <c r="A9" s="5" t="s">
        <v>108</v>
      </c>
      <c r="B9" s="9">
        <f>IF(E6="","",1/E6)</f>
        <v>1</v>
      </c>
      <c r="C9" s="9">
        <f>IF(E7="","",1/E7)</f>
        <v>7</v>
      </c>
      <c r="D9" s="9">
        <f>IF(E8="","",1/E8)</f>
        <v>7</v>
      </c>
      <c r="E9" s="9">
        <v>1</v>
      </c>
      <c r="F9" s="9">
        <f>Числовые_ответы!O4</f>
        <v>7</v>
      </c>
      <c r="G9" s="9">
        <f>Числовые_ответы!P4</f>
        <v>7</v>
      </c>
      <c r="H9" s="9">
        <f t="shared" si="0"/>
        <v>3.6593057100229709</v>
      </c>
      <c r="I9" s="9">
        <f>IF(H12="","",H9/H12)</f>
        <v>0.38535562153389669</v>
      </c>
      <c r="J9" s="9">
        <f t="shared" si="1"/>
        <v>2.5018254039524734</v>
      </c>
      <c r="K9" s="9">
        <f t="shared" si="2"/>
        <v>6.4922509602793159</v>
      </c>
    </row>
    <row r="10" spans="1:11" ht="15">
      <c r="A10" s="5" t="s">
        <v>109</v>
      </c>
      <c r="B10" s="9">
        <f>IF(F6="","",1/F6)</f>
        <v>0.14285714285714285</v>
      </c>
      <c r="C10" s="9">
        <f>IF(F7="","",1/F7)</f>
        <v>0.14285714285714285</v>
      </c>
      <c r="D10" s="9">
        <f>IF(F8="","",1/F8)</f>
        <v>1</v>
      </c>
      <c r="E10" s="9">
        <f>IF(F9="","",1/F9)</f>
        <v>0.14285714285714285</v>
      </c>
      <c r="F10" s="9">
        <v>1</v>
      </c>
      <c r="G10" s="9">
        <f>Числовые_ответы!Q4</f>
        <v>1</v>
      </c>
      <c r="H10" s="9">
        <f t="shared" si="0"/>
        <v>0.3779644730092272</v>
      </c>
      <c r="I10" s="9">
        <f>IF(H12="","",H10/H12)</f>
        <v>3.980283309351821E-2</v>
      </c>
      <c r="J10" s="9">
        <f t="shared" si="1"/>
        <v>0.2549135679622328</v>
      </c>
      <c r="K10" s="9">
        <f t="shared" si="2"/>
        <v>6.404407630062515</v>
      </c>
    </row>
    <row r="11" spans="1:11" ht="15">
      <c r="A11" s="5" t="s">
        <v>110</v>
      </c>
      <c r="B11" s="9">
        <f>IF(G6="","",1/G6)</f>
        <v>0.14285714285714285</v>
      </c>
      <c r="C11" s="9">
        <f>IF(G7="","",1/G7)</f>
        <v>0.2</v>
      </c>
      <c r="D11" s="9">
        <f>IF(G8="","",1/G8)</f>
        <v>3</v>
      </c>
      <c r="E11" s="9">
        <f>IF(G9="","",1/G9)</f>
        <v>0.14285714285714285</v>
      </c>
      <c r="F11" s="9">
        <f>IF(G10="","",1/G10)</f>
        <v>1</v>
      </c>
      <c r="G11" s="9">
        <v>1</v>
      </c>
      <c r="H11" s="9">
        <f t="shared" si="0"/>
        <v>0.48009353940137001</v>
      </c>
      <c r="I11" s="9">
        <f>IF(H12="","",H11/H12)</f>
        <v>5.0557881448298536E-2</v>
      </c>
      <c r="J11" s="9">
        <f t="shared" si="1"/>
        <v>0.34248980153539826</v>
      </c>
      <c r="K11" s="9">
        <f t="shared" si="2"/>
        <v>6.774211887925623</v>
      </c>
    </row>
    <row r="12" spans="1:11" ht="15">
      <c r="A12" s="3"/>
      <c r="B12" s="17"/>
      <c r="C12" s="17"/>
      <c r="D12" s="17"/>
      <c r="E12" s="17"/>
      <c r="F12" s="17"/>
      <c r="G12" s="17"/>
      <c r="H12" s="9">
        <f>IF(COUNT(H6:H11)&lt;6,"",SUM(H6:H11))</f>
        <v>9.4959188488212849</v>
      </c>
      <c r="I12" s="9">
        <f>IF(COUNT(I6:I11)&lt;6,"",SUM(I6:I11))</f>
        <v>1</v>
      </c>
      <c r="J12" s="18" t="s">
        <v>115</v>
      </c>
      <c r="K12" s="9">
        <f>IF(COUNT(K6:K11)&lt;6,"",AVERAGE(K6:K11))</f>
        <v>6.7046626496679167</v>
      </c>
    </row>
    <row r="13" spans="1:11" ht="15">
      <c r="A13" s="3"/>
      <c r="B13" s="17"/>
      <c r="C13" s="17"/>
      <c r="D13" s="17"/>
      <c r="E13" s="17"/>
      <c r="F13" s="17"/>
      <c r="G13" s="17"/>
      <c r="H13" s="9"/>
      <c r="I13" s="9"/>
      <c r="J13" s="18" t="s">
        <v>116</v>
      </c>
      <c r="K13" s="9">
        <f>IF(K12="","",(K12-6)/(6-1))</f>
        <v>0.14093252993358335</v>
      </c>
    </row>
    <row r="14" spans="1:11" ht="15">
      <c r="A14" s="3"/>
      <c r="B14" s="17"/>
      <c r="C14" s="17"/>
      <c r="D14" s="17"/>
      <c r="E14" s="17"/>
      <c r="F14" s="17"/>
      <c r="G14" s="17"/>
      <c r="H14" s="9"/>
      <c r="I14" s="9"/>
      <c r="J14" s="18" t="s">
        <v>14</v>
      </c>
      <c r="K14" s="9">
        <f>VLOOKUP(6,Шкала_Саати!$D$4:$E$13,2,FALSE)</f>
        <v>1.24</v>
      </c>
    </row>
    <row r="15" spans="1:11" ht="15">
      <c r="A15" s="3"/>
      <c r="B15" s="17"/>
      <c r="C15" s="17"/>
      <c r="D15" s="17"/>
      <c r="E15" s="17"/>
      <c r="F15" s="17"/>
      <c r="G15" s="17"/>
      <c r="H15" s="9"/>
      <c r="I15" s="9"/>
      <c r="J15" s="18" t="s">
        <v>117</v>
      </c>
      <c r="K15" s="9">
        <f>IF(COUNT(K13:K14)&lt;2,"",K13/K14)</f>
        <v>0.11365526607547044</v>
      </c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16" t="s">
        <v>118</v>
      </c>
      <c r="B18" s="16"/>
      <c r="C18" s="16"/>
      <c r="D18" s="16"/>
      <c r="E18" s="16"/>
      <c r="F18" s="16"/>
      <c r="G18" s="16"/>
      <c r="H18" s="16"/>
      <c r="I18" s="16"/>
      <c r="J18" s="3"/>
      <c r="K18" s="3"/>
    </row>
    <row r="19" spans="1:11" ht="15">
      <c r="A19" s="5"/>
      <c r="B19" s="5" t="s">
        <v>119</v>
      </c>
      <c r="C19" s="5" t="s">
        <v>120</v>
      </c>
      <c r="D19" s="5" t="s">
        <v>121</v>
      </c>
      <c r="E19" s="5" t="s">
        <v>122</v>
      </c>
      <c r="F19" s="5" t="s">
        <v>111</v>
      </c>
      <c r="G19" s="5" t="s">
        <v>112</v>
      </c>
      <c r="H19" s="5" t="s">
        <v>113</v>
      </c>
      <c r="I19" s="5" t="s">
        <v>114</v>
      </c>
      <c r="J19" s="3"/>
      <c r="K19" s="3"/>
    </row>
    <row r="20" spans="1:11" ht="15">
      <c r="A20" s="5" t="s">
        <v>119</v>
      </c>
      <c r="B20" s="9">
        <v>1</v>
      </c>
      <c r="C20" s="9">
        <f>Числовые_ответы!R4</f>
        <v>0.2</v>
      </c>
      <c r="D20" s="9">
        <f>Числовые_ответы!S4</f>
        <v>0.33333333333333331</v>
      </c>
      <c r="E20" s="9">
        <f>Числовые_ответы!T4</f>
        <v>3</v>
      </c>
      <c r="F20" s="9">
        <f>IF(COUNT(B20:E20)&lt;4,"",PRODUCT(B20:E20)^(1/4))</f>
        <v>0.66874030497642201</v>
      </c>
      <c r="G20" s="9">
        <f>IF(F24="","",F20/F24)</f>
        <v>0.12761525381404662</v>
      </c>
      <c r="H20" s="9">
        <f>IF(G20="","",B20*$G$20 + C20*$G$21 + D20*$G$22 + E20*$G$23)</f>
        <v>0.53313527841240349</v>
      </c>
      <c r="I20" s="9">
        <f>IFERROR(H20/G20,"")</f>
        <v>4.1776767469291451</v>
      </c>
      <c r="J20" s="3"/>
      <c r="K20" s="3"/>
    </row>
    <row r="21" spans="1:11" ht="15">
      <c r="A21" s="5" t="s">
        <v>120</v>
      </c>
      <c r="B21" s="9">
        <f>IF(C20="","",1/C20)</f>
        <v>5</v>
      </c>
      <c r="C21" s="9">
        <v>1</v>
      </c>
      <c r="D21" s="9">
        <f>Числовые_ответы!U4</f>
        <v>3</v>
      </c>
      <c r="E21" s="9">
        <f>Числовые_ответы!V4</f>
        <v>3</v>
      </c>
      <c r="F21" s="9">
        <f>IF(COUNT(B21:E21)&lt;4,"",PRODUCT(B21:E21)^(1/4))</f>
        <v>2.5900200641113513</v>
      </c>
      <c r="G21" s="9">
        <f>IF(F24="","",F21/F24)</f>
        <v>0.49425175274383509</v>
      </c>
      <c r="H21" s="9">
        <f>IF(G21="","",B21*$G$20 + C21*$G$21 + D21*$G$22 + E21*$G$23)</f>
        <v>2.2667270021404224</v>
      </c>
      <c r="I21" s="9">
        <f>IFERROR(H21/G21,"")</f>
        <v>4.5861789858239321</v>
      </c>
      <c r="J21" s="3"/>
      <c r="K21" s="3"/>
    </row>
    <row r="22" spans="1:11" ht="15">
      <c r="A22" s="5" t="s">
        <v>121</v>
      </c>
      <c r="B22" s="9">
        <f>IF(D20="","",1/D20)</f>
        <v>3</v>
      </c>
      <c r="C22" s="9">
        <f>IF(D21="","",1/D21)</f>
        <v>0.33333333333333331</v>
      </c>
      <c r="D22" s="9">
        <v>1</v>
      </c>
      <c r="E22" s="9">
        <f>Числовые_ответы!W4</f>
        <v>7</v>
      </c>
      <c r="F22" s="9">
        <f>IF(COUNT(B22:E22)&lt;4,"",PRODUCT(B22:E22)^(1/4))</f>
        <v>1.6265765616977856</v>
      </c>
      <c r="G22" s="9">
        <f>IF(F24="","",F22/F24)</f>
        <v>0.31039848985378676</v>
      </c>
      <c r="H22" s="9">
        <f>IF(G22="","",B22*$G$20 + C22*$G$21 + D22*$G$22 + E22*$G$23)</f>
        <v>1.3321363606621919</v>
      </c>
      <c r="I22" s="9">
        <f>IFERROR(H22/G22,"")</f>
        <v>4.2916972994607505</v>
      </c>
      <c r="J22" s="3"/>
      <c r="K22" s="3"/>
    </row>
    <row r="23" spans="1:11" ht="15">
      <c r="A23" s="5" t="s">
        <v>122</v>
      </c>
      <c r="B23" s="9">
        <f>IF(E20="","",1/E20)</f>
        <v>0.33333333333333331</v>
      </c>
      <c r="C23" s="9">
        <f>IF(E21="","",1/E21)</f>
        <v>0.33333333333333331</v>
      </c>
      <c r="D23" s="9">
        <f>IF(E22="","",1/E22)</f>
        <v>0.14285714285714285</v>
      </c>
      <c r="E23" s="9">
        <v>1</v>
      </c>
      <c r="F23" s="9">
        <f>IF(COUNT(B23:E23)&lt;4,"",PRODUCT(B23:E23)^(1/4))</f>
        <v>0.35494810560100531</v>
      </c>
      <c r="G23" s="9">
        <f>IF(F24="","",F23/F24)</f>
        <v>6.7734503588331441E-2</v>
      </c>
      <c r="H23" s="9">
        <f>IF(G23="","",B23*$G$20 + C23*$G$21 + D23*$G$22 + E23*$G$23)</f>
        <v>0.31936614718197587</v>
      </c>
      <c r="I23" s="9">
        <f>IFERROR(H23/G23,"")</f>
        <v>4.7149699232016333</v>
      </c>
      <c r="J23" s="3"/>
      <c r="K23" s="3"/>
    </row>
    <row r="24" spans="1:11" ht="15">
      <c r="A24" s="3"/>
      <c r="B24" s="17"/>
      <c r="C24" s="17"/>
      <c r="D24" s="17"/>
      <c r="E24" s="17"/>
      <c r="F24" s="9">
        <f>IF(COUNT(F20:F23)&lt;4,"",SUM(F20:F23))</f>
        <v>5.240285036386565</v>
      </c>
      <c r="G24" s="9">
        <f>IF(COUNT(G20:G23)&lt;4,"",SUM(G20:G23))</f>
        <v>1</v>
      </c>
      <c r="H24" s="18" t="s">
        <v>115</v>
      </c>
      <c r="I24" s="9">
        <f>IF(COUNT(I20:I23)&lt;4,"",AVERAGE(I20:I23))</f>
        <v>4.4426307388538655</v>
      </c>
      <c r="J24" s="3"/>
      <c r="K24" s="3"/>
    </row>
    <row r="25" spans="1:11" ht="15">
      <c r="A25" s="3"/>
      <c r="B25" s="17"/>
      <c r="C25" s="17"/>
      <c r="D25" s="17"/>
      <c r="E25" s="17"/>
      <c r="F25" s="9"/>
      <c r="G25" s="9"/>
      <c r="H25" s="18" t="s">
        <v>116</v>
      </c>
      <c r="I25" s="9">
        <f>IF(I24="","",(I24-4)/(4-1))</f>
        <v>0.14754357961795517</v>
      </c>
      <c r="J25" s="3"/>
      <c r="K25" s="3"/>
    </row>
    <row r="26" spans="1:11" ht="15">
      <c r="A26" s="3"/>
      <c r="B26" s="17"/>
      <c r="C26" s="17"/>
      <c r="D26" s="17"/>
      <c r="E26" s="17"/>
      <c r="F26" s="9"/>
      <c r="G26" s="9"/>
      <c r="H26" s="18" t="s">
        <v>14</v>
      </c>
      <c r="I26" s="9">
        <f>VLOOKUP(4,Шкала_Саати!$D$4:$E$13,2,FALSE)</f>
        <v>0.9</v>
      </c>
      <c r="J26" s="3"/>
      <c r="K26" s="3"/>
    </row>
    <row r="27" spans="1:11" ht="15">
      <c r="A27" s="3"/>
      <c r="B27" s="17"/>
      <c r="C27" s="17"/>
      <c r="D27" s="17"/>
      <c r="E27" s="17"/>
      <c r="F27" s="9"/>
      <c r="G27" s="9"/>
      <c r="H27" s="18" t="s">
        <v>117</v>
      </c>
      <c r="I27" s="9">
        <f>IF(COUNT(I25:I26)&lt;2,"",I25/I26)</f>
        <v>0.16393731068661685</v>
      </c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16" t="s">
        <v>123</v>
      </c>
      <c r="B30" s="16"/>
      <c r="C30" s="16"/>
      <c r="D30" s="16"/>
      <c r="E30" s="16"/>
      <c r="F30" s="16"/>
      <c r="G30" s="16"/>
      <c r="H30" s="16"/>
      <c r="I30" s="16"/>
      <c r="J30" s="3"/>
      <c r="K30" s="3"/>
    </row>
    <row r="31" spans="1:11" ht="15">
      <c r="A31" s="5"/>
      <c r="B31" s="5" t="s">
        <v>119</v>
      </c>
      <c r="C31" s="5" t="s">
        <v>120</v>
      </c>
      <c r="D31" s="5" t="s">
        <v>121</v>
      </c>
      <c r="E31" s="5" t="s">
        <v>122</v>
      </c>
      <c r="F31" s="5" t="s">
        <v>111</v>
      </c>
      <c r="G31" s="5" t="s">
        <v>112</v>
      </c>
      <c r="H31" s="5" t="s">
        <v>113</v>
      </c>
      <c r="I31" s="5" t="s">
        <v>114</v>
      </c>
      <c r="J31" s="3"/>
      <c r="K31" s="19"/>
    </row>
    <row r="32" spans="1:11" ht="15">
      <c r="A32" s="5" t="s">
        <v>119</v>
      </c>
      <c r="B32" s="9">
        <v>1</v>
      </c>
      <c r="C32" s="9">
        <f>Числовые_ответы!X4</f>
        <v>1</v>
      </c>
      <c r="D32" s="9">
        <f>Числовые_ответы!Y4</f>
        <v>5</v>
      </c>
      <c r="E32" s="9">
        <f>Числовые_ответы!Z4</f>
        <v>3</v>
      </c>
      <c r="F32" s="9">
        <f>IF(COUNT(B32:E32)&lt;4,"",PRODUCT(B32:E32)^(1/4))</f>
        <v>1.9679896712654303</v>
      </c>
      <c r="G32" s="9">
        <f>IF(F36="","",F32/F36)</f>
        <v>0.39651334849292036</v>
      </c>
      <c r="H32" s="9">
        <f>IF(G32="","",B32*$G$32 + C32*$G$33 + D32*$G$34 + E32*$G$35)</f>
        <v>1.6511169069910521</v>
      </c>
      <c r="I32" s="9">
        <f>IFERROR(H32/G32,"")</f>
        <v>4.1640890861976425</v>
      </c>
      <c r="J32" s="3"/>
      <c r="K32" s="3"/>
    </row>
    <row r="33" spans="1:11" ht="15">
      <c r="A33" s="5" t="s">
        <v>120</v>
      </c>
      <c r="B33" s="9">
        <f>IF(C32="","",1/C32)</f>
        <v>1</v>
      </c>
      <c r="C33" s="9">
        <v>1</v>
      </c>
      <c r="D33" s="9">
        <f>Числовые_ответы!AA4</f>
        <v>5</v>
      </c>
      <c r="E33" s="9">
        <f>Числовые_ответы!AB4</f>
        <v>3</v>
      </c>
      <c r="F33" s="9">
        <f>IF(COUNT(B33:E33)&lt;4,"",PRODUCT(B33:E33)^(1/4))</f>
        <v>1.9679896712654303</v>
      </c>
      <c r="G33" s="9">
        <f>IF(F36="","",F33/F36)</f>
        <v>0.39651334849292036</v>
      </c>
      <c r="H33" s="9">
        <f>IF(G33="","",B33*$G$32 + C33*$G$33 + D33*$G$34 + E33*$G$35)</f>
        <v>1.6511169069910521</v>
      </c>
      <c r="I33" s="9">
        <f>IFERROR(H33/G33,"")</f>
        <v>4.1640890861976425</v>
      </c>
      <c r="J33" s="3"/>
      <c r="K33" s="3"/>
    </row>
    <row r="34" spans="1:11" ht="15">
      <c r="A34" s="5" t="s">
        <v>121</v>
      </c>
      <c r="B34" s="9">
        <f>IF(D32="","",1/D32)</f>
        <v>0.2</v>
      </c>
      <c r="C34" s="9">
        <f>IF(D33="","",1/D33)</f>
        <v>0.2</v>
      </c>
      <c r="D34" s="9">
        <v>1</v>
      </c>
      <c r="E34" s="9">
        <f>Числовые_ответы!AC4</f>
        <v>3</v>
      </c>
      <c r="F34" s="9">
        <f>IF(COUNT(B34:E34)&lt;4,"",PRODUCT(B34:E34)^(1/4))</f>
        <v>0.58856619127654242</v>
      </c>
      <c r="G34" s="9">
        <f>IF(F36="","",F34/F36)</f>
        <v>0.11858515048136672</v>
      </c>
      <c r="H34" s="9">
        <f>IF(G34="","",B34*$G$32 + C34*$G$33 + D34*$G$34 + E34*$G$35)</f>
        <v>0.54235494747691271</v>
      </c>
      <c r="I34" s="9">
        <f>IFERROR(H34/G34,"")</f>
        <v>4.5735485874526329</v>
      </c>
      <c r="J34" s="3"/>
      <c r="K34" s="3"/>
    </row>
    <row r="35" spans="1:11" ht="15">
      <c r="A35" s="5" t="s">
        <v>122</v>
      </c>
      <c r="B35" s="9">
        <f>IF(E32="","",1/E32)</f>
        <v>0.33333333333333331</v>
      </c>
      <c r="C35" s="9">
        <f>IF(E33="","",1/E33)</f>
        <v>0.33333333333333331</v>
      </c>
      <c r="D35" s="9">
        <f>IF(E34="","",1/E34)</f>
        <v>0.33333333333333331</v>
      </c>
      <c r="E35" s="9">
        <v>1</v>
      </c>
      <c r="F35" s="9">
        <f>IF(COUNT(B35:E35)&lt;4,"",PRODUCT(B35:E35)^(1/4))</f>
        <v>0.43869133765083079</v>
      </c>
      <c r="G35" s="9">
        <f>IF(F36="","",F35/F36)</f>
        <v>8.8388152532792613E-2</v>
      </c>
      <c r="H35" s="9">
        <f>IF(G35="","",B35*$G$32 + C35*$G$33 + D35*$G$34 + E35*$G$35)</f>
        <v>0.39225876835519502</v>
      </c>
      <c r="I35" s="9">
        <f>IFERROR(H35/G35,"")</f>
        <v>4.4379111579423984</v>
      </c>
      <c r="J35" s="3"/>
      <c r="K35" s="3"/>
    </row>
    <row r="36" spans="1:11" ht="15">
      <c r="A36" s="3"/>
      <c r="B36" s="17"/>
      <c r="C36" s="17"/>
      <c r="D36" s="17"/>
      <c r="E36" s="17"/>
      <c r="F36" s="9">
        <f>IF(COUNT(F32:F35)&lt;4,"",SUM(F32:F35))</f>
        <v>4.9632368714582338</v>
      </c>
      <c r="G36" s="9">
        <f>IF(COUNT(G32:G35)&lt;4,"",SUM(G32:G35))</f>
        <v>1</v>
      </c>
      <c r="H36" s="18" t="s">
        <v>115</v>
      </c>
      <c r="I36" s="9">
        <f>IF(COUNT(I32:I35)&lt;4,"",AVERAGE(I32:I35))</f>
        <v>4.3349094794475791</v>
      </c>
      <c r="J36" s="3"/>
      <c r="K36" s="3"/>
    </row>
    <row r="37" spans="1:11" ht="15">
      <c r="A37" s="3"/>
      <c r="B37" s="17"/>
      <c r="C37" s="17"/>
      <c r="D37" s="17"/>
      <c r="E37" s="17"/>
      <c r="F37" s="9"/>
      <c r="G37" s="9"/>
      <c r="H37" s="18" t="s">
        <v>116</v>
      </c>
      <c r="I37" s="9">
        <f>IF(I36="","",(I36-4)/(4-1))</f>
        <v>0.11163649314919304</v>
      </c>
      <c r="J37" s="3"/>
      <c r="K37" s="3"/>
    </row>
    <row r="38" spans="1:11" ht="15">
      <c r="A38" s="3"/>
      <c r="B38" s="17"/>
      <c r="C38" s="17"/>
      <c r="D38" s="17"/>
      <c r="E38" s="17"/>
      <c r="F38" s="9"/>
      <c r="G38" s="9"/>
      <c r="H38" s="18" t="s">
        <v>14</v>
      </c>
      <c r="I38" s="9">
        <f>VLOOKUP(4,Шкала_Саати!$D$4:$E$13,2,FALSE)</f>
        <v>0.9</v>
      </c>
      <c r="J38" s="3"/>
      <c r="K38" s="3"/>
    </row>
    <row r="39" spans="1:11" ht="15">
      <c r="A39" s="3"/>
      <c r="B39" s="17"/>
      <c r="C39" s="17"/>
      <c r="D39" s="17"/>
      <c r="E39" s="17"/>
      <c r="F39" s="9"/>
      <c r="G39" s="9"/>
      <c r="H39" s="18" t="s">
        <v>117</v>
      </c>
      <c r="I39" s="9">
        <f>IF(COUNT(I37:I38)&lt;2,"",I37/I38)</f>
        <v>0.12404054794354781</v>
      </c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16" t="s">
        <v>124</v>
      </c>
      <c r="B42" s="16"/>
      <c r="C42" s="16"/>
      <c r="D42" s="16"/>
      <c r="E42" s="16"/>
      <c r="F42" s="16"/>
      <c r="G42" s="16"/>
      <c r="H42" s="16"/>
      <c r="I42" s="16"/>
      <c r="J42" s="3"/>
      <c r="K42" s="3"/>
    </row>
    <row r="43" spans="1:11" ht="15">
      <c r="A43" s="5"/>
      <c r="B43" s="5" t="s">
        <v>119</v>
      </c>
      <c r="C43" s="5" t="s">
        <v>120</v>
      </c>
      <c r="D43" s="5" t="s">
        <v>121</v>
      </c>
      <c r="E43" s="5" t="s">
        <v>122</v>
      </c>
      <c r="F43" s="5" t="s">
        <v>111</v>
      </c>
      <c r="G43" s="5" t="s">
        <v>112</v>
      </c>
      <c r="H43" s="5" t="s">
        <v>113</v>
      </c>
      <c r="I43" s="5" t="s">
        <v>114</v>
      </c>
      <c r="J43" s="3"/>
      <c r="K43" s="3"/>
    </row>
    <row r="44" spans="1:11" ht="15">
      <c r="A44" s="5" t="s">
        <v>119</v>
      </c>
      <c r="B44" s="9">
        <v>1</v>
      </c>
      <c r="C44" s="9">
        <f>Числовые_ответы!AD4</f>
        <v>5</v>
      </c>
      <c r="D44" s="9">
        <f>Числовые_ответы!AE4</f>
        <v>0.1111111111111111</v>
      </c>
      <c r="E44" s="9">
        <f>Числовые_ответы!AF4</f>
        <v>5</v>
      </c>
      <c r="F44" s="9">
        <f>IF(COUNT(B44:E44)&lt;4,"",PRODUCT(B44:E44)^(1/4))</f>
        <v>1.2909944487358056</v>
      </c>
      <c r="G44" s="9">
        <f>IF(F48="","",F44/F48)</f>
        <v>0.21396878205135964</v>
      </c>
      <c r="H44" s="9">
        <f>IF(G44="","",B44*$G$44 + C44*$G$45 + D44*$G$46 + E44*$G$47)</f>
        <v>1.1397670389496444</v>
      </c>
      <c r="I44" s="9">
        <f>IFERROR(H44/G44,"")</f>
        <v>5.3267912637651147</v>
      </c>
      <c r="J44" s="3"/>
      <c r="K44" s="3"/>
    </row>
    <row r="45" spans="1:11" ht="15">
      <c r="A45" s="5" t="s">
        <v>120</v>
      </c>
      <c r="B45" s="9">
        <f>IF(C44="","",1/C44)</f>
        <v>0.2</v>
      </c>
      <c r="C45" s="9">
        <v>1</v>
      </c>
      <c r="D45" s="9">
        <f>Числовые_ответы!AG4</f>
        <v>0.14285714285714285</v>
      </c>
      <c r="E45" s="9">
        <f>Числовые_ответы!AH4</f>
        <v>0.2</v>
      </c>
      <c r="F45" s="9">
        <f>IF(COUNT(B45:E45)&lt;4,"",PRODUCT(B45:E45)^(1/4))</f>
        <v>0.274941620352113</v>
      </c>
      <c r="G45" s="9">
        <f>IF(F48="","",F45/F48)</f>
        <v>4.5568688308130691E-2</v>
      </c>
      <c r="H45" s="9">
        <f>IF(G45="","",B45*$G$44 + C45*$G$45 + D45*$G$46 + E45*$G$47)</f>
        <v>0.20133907987299257</v>
      </c>
      <c r="I45" s="9">
        <f>IFERROR(H45/G45,"")</f>
        <v>4.4183646128139316</v>
      </c>
      <c r="J45" s="3"/>
      <c r="K45" s="3"/>
    </row>
    <row r="46" spans="1:11" ht="15">
      <c r="A46" s="5" t="s">
        <v>121</v>
      </c>
      <c r="B46" s="9">
        <f>IF(D44="","",1/D44)</f>
        <v>9</v>
      </c>
      <c r="C46" s="9">
        <f>IF(D45="","",1/D45)</f>
        <v>7</v>
      </c>
      <c r="D46" s="9">
        <v>1</v>
      </c>
      <c r="E46" s="9">
        <f>Числовые_ответы!AI4</f>
        <v>3</v>
      </c>
      <c r="F46" s="9">
        <f>IF(COUNT(B46:E46)&lt;4,"",PRODUCT(B46:E46)^(1/4))</f>
        <v>3.7077927510673412</v>
      </c>
      <c r="G46" s="9">
        <f>IF(F48="","",F46/F48)</f>
        <v>0.61452773853646048</v>
      </c>
      <c r="H46" s="9">
        <f>IF(G46="","",B46*$G$44 + C46*$G$45 + D46*$G$46 + E46*$G$47)</f>
        <v>3.2370319684677598</v>
      </c>
      <c r="I46" s="9">
        <f>IFERROR(H46/G46,"")</f>
        <v>5.2675115629067797</v>
      </c>
      <c r="J46" s="3"/>
      <c r="K46" s="3"/>
    </row>
    <row r="47" spans="1:11" ht="15">
      <c r="A47" s="5" t="s">
        <v>122</v>
      </c>
      <c r="B47" s="9">
        <f>IF(E44="","",1/E44)</f>
        <v>0.2</v>
      </c>
      <c r="C47" s="9">
        <f>IF(E45="","",1/E45)</f>
        <v>5</v>
      </c>
      <c r="D47" s="9">
        <f>IF(E46="","",1/E46)</f>
        <v>0.33333333333333331</v>
      </c>
      <c r="E47" s="9">
        <v>1</v>
      </c>
      <c r="F47" s="9">
        <f>IF(COUNT(B47:E47)&lt;4,"",PRODUCT(B47:E47)^(1/4))</f>
        <v>0.75983568565159254</v>
      </c>
      <c r="G47" s="9">
        <f>IF(F48="","",F47/F48)</f>
        <v>0.12593479110404934</v>
      </c>
      <c r="H47" s="9">
        <f>IF(G47="","",B47*$G$44 + C47*$G$45 + D47*$G$46 + E47*$G$47)</f>
        <v>0.60141456856712827</v>
      </c>
      <c r="I47" s="9">
        <f>IFERROR(H47/G47,"")</f>
        <v>4.7756030187895409</v>
      </c>
      <c r="J47" s="3"/>
      <c r="K47" s="3"/>
    </row>
    <row r="48" spans="1:11" ht="15">
      <c r="A48" s="3"/>
      <c r="B48" s="17"/>
      <c r="C48" s="17"/>
      <c r="D48" s="17"/>
      <c r="E48" s="17"/>
      <c r="F48" s="9">
        <f>IF(COUNT(F44:F47)&lt;4,"",SUM(F44:F47))</f>
        <v>6.0335645058068517</v>
      </c>
      <c r="G48" s="9">
        <f>IF(COUNT(G44:G47)&lt;4,"",SUM(G44:G47))</f>
        <v>1.0000000000000002</v>
      </c>
      <c r="H48" s="18" t="s">
        <v>115</v>
      </c>
      <c r="I48" s="9">
        <f>IF(COUNT(I44:I47)&lt;4,"",AVERAGE(I44:I47))</f>
        <v>4.9470676145688417</v>
      </c>
      <c r="J48" s="3"/>
      <c r="K48" s="3"/>
    </row>
    <row r="49" spans="1:11" ht="15">
      <c r="A49" s="3"/>
      <c r="B49" s="17"/>
      <c r="C49" s="17"/>
      <c r="D49" s="17"/>
      <c r="E49" s="17"/>
      <c r="F49" s="9"/>
      <c r="G49" s="9"/>
      <c r="H49" s="18" t="s">
        <v>116</v>
      </c>
      <c r="I49" s="9">
        <f>IF(I48="","",(I48-4)/(4-1))</f>
        <v>0.31568920485628055</v>
      </c>
      <c r="J49" s="3"/>
      <c r="K49" s="3"/>
    </row>
    <row r="50" spans="1:11" ht="15">
      <c r="A50" s="3"/>
      <c r="B50" s="17"/>
      <c r="C50" s="17"/>
      <c r="D50" s="17"/>
      <c r="E50" s="17"/>
      <c r="F50" s="9"/>
      <c r="G50" s="9"/>
      <c r="H50" s="18" t="s">
        <v>14</v>
      </c>
      <c r="I50" s="9">
        <f>VLOOKUP(4,Шкала_Саати!$D$4:$E$13,2,FALSE)</f>
        <v>0.9</v>
      </c>
      <c r="J50" s="3"/>
      <c r="K50" s="3"/>
    </row>
    <row r="51" spans="1:11" ht="15">
      <c r="A51" s="3"/>
      <c r="B51" s="17"/>
      <c r="C51" s="17"/>
      <c r="D51" s="17"/>
      <c r="E51" s="17"/>
      <c r="F51" s="9"/>
      <c r="G51" s="9"/>
      <c r="H51" s="18" t="s">
        <v>117</v>
      </c>
      <c r="I51" s="9">
        <f>IF(COUNT(I49:I50)&lt;2,"",I49/I50)</f>
        <v>0.35076578317364504</v>
      </c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16" t="s">
        <v>125</v>
      </c>
      <c r="B54" s="16"/>
      <c r="C54" s="16"/>
      <c r="D54" s="16"/>
      <c r="E54" s="16"/>
      <c r="F54" s="16"/>
      <c r="G54" s="16"/>
      <c r="H54" s="16"/>
      <c r="I54" s="16"/>
      <c r="J54" s="3"/>
      <c r="K54" s="3"/>
    </row>
    <row r="55" spans="1:11" ht="15">
      <c r="A55" s="5"/>
      <c r="B55" s="5" t="s">
        <v>119</v>
      </c>
      <c r="C55" s="5" t="s">
        <v>120</v>
      </c>
      <c r="D55" s="5" t="s">
        <v>121</v>
      </c>
      <c r="E55" s="5" t="s">
        <v>122</v>
      </c>
      <c r="F55" s="5" t="s">
        <v>111</v>
      </c>
      <c r="G55" s="5" t="s">
        <v>112</v>
      </c>
      <c r="H55" s="5" t="s">
        <v>113</v>
      </c>
      <c r="I55" s="5" t="s">
        <v>114</v>
      </c>
      <c r="J55" s="3"/>
      <c r="K55" s="3"/>
    </row>
    <row r="56" spans="1:11" ht="15">
      <c r="A56" s="5" t="s">
        <v>119</v>
      </c>
      <c r="B56" s="9">
        <v>1</v>
      </c>
      <c r="C56" s="9">
        <f>Числовые_ответы!AJ4</f>
        <v>5</v>
      </c>
      <c r="D56" s="9">
        <f>Числовые_ответы!AK4</f>
        <v>9</v>
      </c>
      <c r="E56" s="9">
        <f>Числовые_ответы!AL4</f>
        <v>5</v>
      </c>
      <c r="F56" s="9">
        <f>IF(COUNT(B56:E56)&lt;4,"",PRODUCT(B56:E56)^(1/4))</f>
        <v>3.872983346207417</v>
      </c>
      <c r="G56" s="9">
        <f>IF(F60="","",F56/F60)</f>
        <v>0.6203726479535262</v>
      </c>
      <c r="H56" s="9">
        <f>IF(G56="","",B56*$G$56 + C56*$G$57 + D56*$G$58 + E56*$G$59)</f>
        <v>2.6913125174049819</v>
      </c>
      <c r="I56" s="9">
        <f>IFERROR(H56/G56,"")</f>
        <v>4.3382191756568149</v>
      </c>
      <c r="J56" s="3"/>
      <c r="K56" s="3"/>
    </row>
    <row r="57" spans="1:11" ht="15">
      <c r="A57" s="5" t="s">
        <v>120</v>
      </c>
      <c r="B57" s="9">
        <f>IF(C56="","",1/C56)</f>
        <v>0.2</v>
      </c>
      <c r="C57" s="9">
        <v>1</v>
      </c>
      <c r="D57" s="9">
        <f>Числовые_ответы!AM4</f>
        <v>3</v>
      </c>
      <c r="E57" s="9">
        <f>Числовые_ответы!AN4</f>
        <v>0.33333333333333331</v>
      </c>
      <c r="F57" s="9">
        <f>IF(COUNT(B57:E57)&lt;4,"",PRODUCT(B57:E57)^(1/4))</f>
        <v>0.66874030497642201</v>
      </c>
      <c r="G57" s="9">
        <f>IF(F60="","",F57/F60)</f>
        <v>0.10711850702836805</v>
      </c>
      <c r="H57" s="9">
        <f>IF(G57="","",B57*$G$56 + C57*$G$57 + D57*$G$58 + E57*$G$59)</f>
        <v>0.43723139110449971</v>
      </c>
      <c r="I57" s="9">
        <f>IFERROR(H57/G57,"")</f>
        <v>4.0817539679554002</v>
      </c>
      <c r="J57" s="3"/>
      <c r="K57" s="3"/>
    </row>
    <row r="58" spans="1:11" ht="15">
      <c r="A58" s="5" t="s">
        <v>121</v>
      </c>
      <c r="B58" s="9">
        <f>IF(D56="","",1/D56)</f>
        <v>0.1111111111111111</v>
      </c>
      <c r="C58" s="9">
        <f>IF(D57="","",1/D57)</f>
        <v>0.33333333333333331</v>
      </c>
      <c r="D58" s="9">
        <v>1</v>
      </c>
      <c r="E58" s="9">
        <f>Числовые_ответы!AO4</f>
        <v>0.14285714285714285</v>
      </c>
      <c r="F58" s="9">
        <f>IF(COUNT(B58:E58)&lt;4,"",PRODUCT(B58:E58)^(1/4))</f>
        <v>0.26970223719007375</v>
      </c>
      <c r="G58" s="9">
        <f>IF(F60="","",F58/F60)</f>
        <v>4.3200777304771676E-2</v>
      </c>
      <c r="H58" s="9">
        <f>IF(G58="","",B58*$G$56 + C58*$G$57 + D58*$G$58 + E58*$G$59)</f>
        <v>0.18059553591890531</v>
      </c>
      <c r="I58" s="9">
        <f>IFERROR(H58/G58,"")</f>
        <v>4.1803770021276421</v>
      </c>
      <c r="J58" s="3"/>
      <c r="K58" s="3"/>
    </row>
    <row r="59" spans="1:11" ht="15">
      <c r="A59" s="5" t="s">
        <v>122</v>
      </c>
      <c r="B59" s="9">
        <f>IF(E56="","",1/E56)</f>
        <v>0.2</v>
      </c>
      <c r="C59" s="9">
        <f>IF(E57="","",1/E57)</f>
        <v>3</v>
      </c>
      <c r="D59" s="9">
        <f>IF(E58="","",1/E58)</f>
        <v>7</v>
      </c>
      <c r="E59" s="9">
        <v>1</v>
      </c>
      <c r="F59" s="9">
        <f>IF(COUNT(B59:E59)&lt;4,"",PRODUCT(B59:E59)^(1/4))</f>
        <v>1.4315691227432645</v>
      </c>
      <c r="G59" s="9">
        <f>IF(F60="","",F59/F60)</f>
        <v>0.22930806771333409</v>
      </c>
      <c r="H59" s="9">
        <f>IF(G59="","",B59*$G$56 + C59*$G$57 + D59*$G$58 + E59*$G$59)</f>
        <v>0.97714355952254528</v>
      </c>
      <c r="I59" s="9">
        <f>IFERROR(H59/G59,"")</f>
        <v>4.261269868376834</v>
      </c>
      <c r="J59" s="3"/>
      <c r="K59" s="3"/>
    </row>
    <row r="60" spans="1:11" ht="15">
      <c r="A60" s="3"/>
      <c r="B60" s="17"/>
      <c r="C60" s="17"/>
      <c r="D60" s="17"/>
      <c r="E60" s="17"/>
      <c r="F60" s="9">
        <f>IF(COUNT(F56:F59)&lt;4,"",SUM(F56:F59))</f>
        <v>6.242995011117177</v>
      </c>
      <c r="G60" s="9">
        <f>IF(COUNT(G56:G59)&lt;4,"",SUM(G56:G59))</f>
        <v>1</v>
      </c>
      <c r="H60" s="18" t="s">
        <v>115</v>
      </c>
      <c r="I60" s="9">
        <f>IF(COUNT(I56:I59)&lt;4,"",AVERAGE(I56:I59))</f>
        <v>4.2154050035291721</v>
      </c>
      <c r="J60" s="3"/>
      <c r="K60" s="3"/>
    </row>
    <row r="61" spans="1:11" ht="15">
      <c r="A61" s="3"/>
      <c r="B61" s="17"/>
      <c r="C61" s="17"/>
      <c r="D61" s="17"/>
      <c r="E61" s="17"/>
      <c r="F61" s="9"/>
      <c r="G61" s="9"/>
      <c r="H61" s="18" t="s">
        <v>116</v>
      </c>
      <c r="I61" s="9">
        <f>IF(I60="","",(I60-4)/(4-1))</f>
        <v>7.1801667843057373E-2</v>
      </c>
      <c r="J61" s="3"/>
      <c r="K61" s="3"/>
    </row>
    <row r="62" spans="1:11" ht="15">
      <c r="A62" s="3"/>
      <c r="B62" s="17"/>
      <c r="C62" s="17"/>
      <c r="D62" s="17"/>
      <c r="E62" s="17"/>
      <c r="F62" s="9"/>
      <c r="G62" s="9"/>
      <c r="H62" s="18" t="s">
        <v>14</v>
      </c>
      <c r="I62" s="9">
        <f>VLOOKUP(4,Шкала_Саати!$D$4:$E$13,2,FALSE)</f>
        <v>0.9</v>
      </c>
      <c r="J62" s="3"/>
      <c r="K62" s="3"/>
    </row>
    <row r="63" spans="1:11" ht="15">
      <c r="A63" s="3"/>
      <c r="B63" s="17"/>
      <c r="C63" s="17"/>
      <c r="D63" s="17"/>
      <c r="E63" s="17"/>
      <c r="F63" s="9"/>
      <c r="G63" s="9"/>
      <c r="H63" s="18" t="s">
        <v>117</v>
      </c>
      <c r="I63" s="9">
        <f>IF(COUNT(I61:I62)&lt;2,"",I61/I62)</f>
        <v>7.977963093673042E-2</v>
      </c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16" t="s">
        <v>126</v>
      </c>
      <c r="B66" s="16"/>
      <c r="C66" s="16"/>
      <c r="D66" s="16"/>
      <c r="E66" s="16"/>
      <c r="F66" s="16"/>
      <c r="G66" s="16"/>
      <c r="H66" s="16"/>
      <c r="I66" s="16"/>
      <c r="J66" s="3"/>
      <c r="K66" s="3"/>
    </row>
    <row r="67" spans="1:11" ht="15">
      <c r="A67" s="5"/>
      <c r="B67" s="5" t="s">
        <v>119</v>
      </c>
      <c r="C67" s="5" t="s">
        <v>120</v>
      </c>
      <c r="D67" s="5" t="s">
        <v>121</v>
      </c>
      <c r="E67" s="5" t="s">
        <v>122</v>
      </c>
      <c r="F67" s="5" t="s">
        <v>111</v>
      </c>
      <c r="G67" s="5" t="s">
        <v>112</v>
      </c>
      <c r="H67" s="5" t="s">
        <v>113</v>
      </c>
      <c r="I67" s="5" t="s">
        <v>114</v>
      </c>
      <c r="J67" s="3"/>
      <c r="K67" s="3"/>
    </row>
    <row r="68" spans="1:11" ht="15">
      <c r="A68" s="5" t="s">
        <v>119</v>
      </c>
      <c r="B68" s="9">
        <v>1</v>
      </c>
      <c r="C68" s="9">
        <f>Числовые_ответы!AP4</f>
        <v>0.2</v>
      </c>
      <c r="D68" s="9">
        <f>Числовые_ответы!AQ4</f>
        <v>0.2</v>
      </c>
      <c r="E68" s="9">
        <f>Числовые_ответы!AR4</f>
        <v>1</v>
      </c>
      <c r="F68" s="9">
        <f>IF(COUNT(B68:E68)&lt;4,"",PRODUCT(B68:E68)^(1/4))</f>
        <v>0.44721359549995798</v>
      </c>
      <c r="G68" s="9">
        <f>IF(F72="","",F68/F72)</f>
        <v>7.6129085925616055E-2</v>
      </c>
      <c r="H68" s="9">
        <f>IF(G68="","",B68*$G$68 + C68*$G$69 + D68*$G$70 + E68*$G$71)</f>
        <v>0.31237592544339465</v>
      </c>
      <c r="I68" s="9">
        <f>IFERROR(H68/G68,"")</f>
        <v>4.1032401958511606</v>
      </c>
      <c r="J68" s="3"/>
      <c r="K68" s="3"/>
    </row>
    <row r="69" spans="1:11" ht="15">
      <c r="A69" s="5" t="s">
        <v>120</v>
      </c>
      <c r="B69" s="9">
        <f>IF(C68="","",1/C68)</f>
        <v>5</v>
      </c>
      <c r="C69" s="9">
        <v>1</v>
      </c>
      <c r="D69" s="9">
        <f>Числовые_ответы!AS4</f>
        <v>3</v>
      </c>
      <c r="E69" s="9">
        <f>Числовые_ответы!AT4</f>
        <v>7</v>
      </c>
      <c r="F69" s="9">
        <f>IF(COUNT(B69:E69)&lt;4,"",PRODUCT(B69:E69)^(1/4))</f>
        <v>3.2010858729436791</v>
      </c>
      <c r="G69" s="9">
        <f>IF(F72="","",F69/F72)</f>
        <v>0.54492024376890369</v>
      </c>
      <c r="H69" s="9">
        <f>IF(G69="","",B69*$G$68 + C69*$G$69 + D69*$G$70 + E69*$G$71)</f>
        <v>2.319780967827934</v>
      </c>
      <c r="I69" s="9">
        <f>IFERROR(H69/G69,"")</f>
        <v>4.2571018316062679</v>
      </c>
      <c r="J69" s="3"/>
      <c r="K69" s="3"/>
    </row>
    <row r="70" spans="1:11" ht="15">
      <c r="A70" s="5" t="s">
        <v>121</v>
      </c>
      <c r="B70" s="9">
        <f>IF(D68="","",1/D68)</f>
        <v>5</v>
      </c>
      <c r="C70" s="9">
        <f>IF(D69="","",1/D69)</f>
        <v>0.33333333333333331</v>
      </c>
      <c r="D70" s="9">
        <v>1</v>
      </c>
      <c r="E70" s="9">
        <f>Числовые_ответы!AU4</f>
        <v>7</v>
      </c>
      <c r="F70" s="9">
        <f>IF(COUNT(B70:E70)&lt;4,"",PRODUCT(B70:E70)^(1/4))</f>
        <v>1.8481477904431416</v>
      </c>
      <c r="G70" s="9">
        <f>IF(F72="","",F70/F72)</f>
        <v>0.31460984942685311</v>
      </c>
      <c r="H70" s="9">
        <f>IF(G70="","",B70*$G$68 + C70*$G$69 + D70*$G$70 + E70*$G$71)</f>
        <v>1.327281106461625</v>
      </c>
      <c r="I70" s="9">
        <f>IFERROR(H70/G70,"")</f>
        <v>4.2188161269573294</v>
      </c>
      <c r="J70" s="3"/>
      <c r="K70" s="3"/>
    </row>
    <row r="71" spans="1:11" ht="15">
      <c r="A71" s="5" t="s">
        <v>122</v>
      </c>
      <c r="B71" s="9">
        <f>IF(E68="","",1/E68)</f>
        <v>1</v>
      </c>
      <c r="C71" s="9">
        <f>IF(E69="","",1/E69)</f>
        <v>0.14285714285714285</v>
      </c>
      <c r="D71" s="9">
        <f>IF(E70="","",1/E70)</f>
        <v>0.14285714285714285</v>
      </c>
      <c r="E71" s="9">
        <v>1</v>
      </c>
      <c r="F71" s="9">
        <f>IF(COUNT(B71:E71)&lt;4,"",PRODUCT(B71:E71)^(1/4))</f>
        <v>0.3779644730092272</v>
      </c>
      <c r="G71" s="9">
        <f>IF(F72="","",F71/F72)</f>
        <v>6.434082087862722E-2</v>
      </c>
      <c r="H71" s="9">
        <f>IF(G71="","",B71*$G$68 + C71*$G$69 + D71*$G$70 + E71*$G$71)</f>
        <v>0.26325992011792282</v>
      </c>
      <c r="I71" s="9">
        <f>IFERROR(H71/G71,"")</f>
        <v>4.0916468973023736</v>
      </c>
      <c r="J71" s="3"/>
      <c r="K71" s="3"/>
    </row>
    <row r="72" spans="1:11" ht="15">
      <c r="A72" s="3"/>
      <c r="B72" s="17"/>
      <c r="C72" s="17"/>
      <c r="D72" s="17"/>
      <c r="E72" s="17"/>
      <c r="F72" s="9">
        <f>IF(COUNT(F68:F71)&lt;4,"",SUM(F68:F71))</f>
        <v>5.8744117318960054</v>
      </c>
      <c r="G72" s="9">
        <f>IF(COUNT(G68:G71)&lt;4,"",SUM(G68:G71))</f>
        <v>1</v>
      </c>
      <c r="H72" s="18" t="s">
        <v>115</v>
      </c>
      <c r="I72" s="9">
        <f>IF(COUNT(I68:I71)&lt;4,"",AVERAGE(I68:I71))</f>
        <v>4.1677012629292829</v>
      </c>
      <c r="J72" s="3"/>
      <c r="K72" s="3"/>
    </row>
    <row r="73" spans="1:11" ht="15">
      <c r="A73" s="3"/>
      <c r="B73" s="17"/>
      <c r="C73" s="17"/>
      <c r="D73" s="17"/>
      <c r="E73" s="17"/>
      <c r="F73" s="9"/>
      <c r="G73" s="9"/>
      <c r="H73" s="18" t="s">
        <v>116</v>
      </c>
      <c r="I73" s="9">
        <f>IF(I72="","",(I72-4)/(4-1))</f>
        <v>5.5900420976427632E-2</v>
      </c>
      <c r="J73" s="3"/>
      <c r="K73" s="3"/>
    </row>
    <row r="74" spans="1:11" ht="15">
      <c r="A74" s="3"/>
      <c r="B74" s="17"/>
      <c r="C74" s="17"/>
      <c r="D74" s="17"/>
      <c r="E74" s="17"/>
      <c r="F74" s="9"/>
      <c r="G74" s="9"/>
      <c r="H74" s="18" t="s">
        <v>14</v>
      </c>
      <c r="I74" s="9">
        <f>VLOOKUP(4,Шкала_Саати!$D$4:$E$13,2,FALSE)</f>
        <v>0.9</v>
      </c>
      <c r="J74" s="3"/>
      <c r="K74" s="3"/>
    </row>
    <row r="75" spans="1:11" ht="15">
      <c r="A75" s="3"/>
      <c r="B75" s="17"/>
      <c r="C75" s="17"/>
      <c r="D75" s="17"/>
      <c r="E75" s="17"/>
      <c r="F75" s="9"/>
      <c r="G75" s="9"/>
      <c r="H75" s="18" t="s">
        <v>117</v>
      </c>
      <c r="I75" s="9">
        <f>IF(COUNT(I73:I74)&lt;2,"",I73/I74)</f>
        <v>6.2111578862697366E-2</v>
      </c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16" t="s">
        <v>127</v>
      </c>
      <c r="B78" s="16"/>
      <c r="C78" s="16"/>
      <c r="D78" s="16"/>
      <c r="E78" s="16"/>
      <c r="F78" s="16"/>
      <c r="G78" s="16"/>
      <c r="H78" s="16"/>
      <c r="I78" s="16"/>
      <c r="J78" s="3"/>
      <c r="K78" s="3"/>
    </row>
    <row r="79" spans="1:11" ht="15">
      <c r="A79" s="5"/>
      <c r="B79" s="5" t="s">
        <v>119</v>
      </c>
      <c r="C79" s="5" t="s">
        <v>120</v>
      </c>
      <c r="D79" s="5" t="s">
        <v>121</v>
      </c>
      <c r="E79" s="5" t="s">
        <v>122</v>
      </c>
      <c r="F79" s="5" t="s">
        <v>111</v>
      </c>
      <c r="G79" s="5" t="s">
        <v>112</v>
      </c>
      <c r="H79" s="5" t="s">
        <v>113</v>
      </c>
      <c r="I79" s="5" t="s">
        <v>114</v>
      </c>
      <c r="J79" s="3"/>
      <c r="K79" s="3"/>
    </row>
    <row r="80" spans="1:11" ht="15">
      <c r="A80" s="5" t="s">
        <v>119</v>
      </c>
      <c r="B80" s="9">
        <v>1</v>
      </c>
      <c r="C80" s="9">
        <f>Числовые_ответы!AV4</f>
        <v>0.14285714285714285</v>
      </c>
      <c r="D80" s="9">
        <f>Числовые_ответы!AW4</f>
        <v>3</v>
      </c>
      <c r="E80" s="9">
        <f>Числовые_ответы!AX4</f>
        <v>7</v>
      </c>
      <c r="F80" s="9">
        <f>IF(COUNT(B80:E80)&lt;4,"",PRODUCT(B80:E80)^(1/4))</f>
        <v>1.3160740129524926</v>
      </c>
      <c r="G80" s="9">
        <f>IF(F84="","",F80/F84)</f>
        <v>0.18829454455053274</v>
      </c>
      <c r="H80" s="9">
        <f>IF(G80="","",B80*$G$80 + C80*$G$81 + D80*$G$82 + E80*$G$83)</f>
        <v>0.8318100438485313</v>
      </c>
      <c r="I80" s="9">
        <f>IFERROR(H80/G80,"")</f>
        <v>4.4176003390544212</v>
      </c>
      <c r="J80" s="3"/>
      <c r="K80" s="3"/>
    </row>
    <row r="81" spans="1:11" ht="15">
      <c r="A81" s="5" t="s">
        <v>120</v>
      </c>
      <c r="B81" s="9">
        <f>IF(C80="","",1/C80)</f>
        <v>7</v>
      </c>
      <c r="C81" s="9">
        <v>1</v>
      </c>
      <c r="D81" s="9">
        <f>Числовые_ответы!AY4</f>
        <v>9</v>
      </c>
      <c r="E81" s="9">
        <f>Числовые_ответы!AZ4</f>
        <v>9</v>
      </c>
      <c r="F81" s="9">
        <f>IF(COUNT(B81:E81)&lt;4,"",PRODUCT(B81:E81)^(1/4))</f>
        <v>4.8797296850933565</v>
      </c>
      <c r="G81" s="9">
        <f>IF(F84="","",F81/F84)</f>
        <v>0.69815714734999157</v>
      </c>
      <c r="H81" s="9">
        <f>IF(G81="","",B81*$G$80 + C81*$G$81 + D81*$G$82 + E81*$G$83)</f>
        <v>3.0381537320990013</v>
      </c>
      <c r="I81" s="9">
        <f>IFERROR(H81/G81,"")</f>
        <v>4.351676042608716</v>
      </c>
      <c r="J81" s="3"/>
      <c r="K81" s="3"/>
    </row>
    <row r="82" spans="1:11" ht="15">
      <c r="A82" s="5" t="s">
        <v>121</v>
      </c>
      <c r="B82" s="9">
        <f>IF(D80="","",1/D80)</f>
        <v>0.33333333333333331</v>
      </c>
      <c r="C82" s="9">
        <f>IF(D81="","",1/D81)</f>
        <v>0.1111111111111111</v>
      </c>
      <c r="D82" s="9">
        <v>1</v>
      </c>
      <c r="E82" s="9">
        <f>Числовые_ответы!BA4</f>
        <v>1</v>
      </c>
      <c r="F82" s="9">
        <f>IF(COUNT(B82:E82)&lt;4,"",PRODUCT(B82:E82)^(1/4))</f>
        <v>0.43869133765083079</v>
      </c>
      <c r="G82" s="9">
        <f>IF(F84="","",F82/F84)</f>
        <v>6.2764848183510899E-2</v>
      </c>
      <c r="H82" s="9">
        <f>IF(G82="","",B82*$G$80 + C82*$G$81 + D82*$G$82 + E82*$G$83)</f>
        <v>0.25388617265520774</v>
      </c>
      <c r="I82" s="9">
        <f>IFERROR(H82/G82,"")</f>
        <v>4.0450376285926675</v>
      </c>
      <c r="J82" s="3"/>
      <c r="K82" s="3"/>
    </row>
    <row r="83" spans="1:11" ht="15">
      <c r="A83" s="5" t="s">
        <v>122</v>
      </c>
      <c r="B83" s="9">
        <f>IF(E80="","",1/E80)</f>
        <v>0.14285714285714285</v>
      </c>
      <c r="C83" s="9">
        <f>IF(E81="","",1/E81)</f>
        <v>0.1111111111111111</v>
      </c>
      <c r="D83" s="9">
        <f>IF(E82="","",1/E82)</f>
        <v>1</v>
      </c>
      <c r="E83" s="9">
        <v>1</v>
      </c>
      <c r="F83" s="9">
        <f>IF(COUNT(B83:E83)&lt;4,"",PRODUCT(B83:E83)^(1/4))</f>
        <v>0.35494810560100531</v>
      </c>
      <c r="G83" s="9">
        <f>IF(F84="","",F83/F84)</f>
        <v>5.0783459915964682E-2</v>
      </c>
      <c r="H83" s="9">
        <f>IF(G83="","",B83*$G$80 + C83*$G$81 + D83*$G$82 + E83*$G$83)</f>
        <v>0.21802054512177294</v>
      </c>
      <c r="I83" s="9">
        <f>IFERROR(H83/G83,"")</f>
        <v>4.2931408273982985</v>
      </c>
      <c r="J83" s="3"/>
      <c r="K83" s="3"/>
    </row>
    <row r="84" spans="1:11" ht="15">
      <c r="A84" s="3"/>
      <c r="B84" s="17"/>
      <c r="C84" s="17"/>
      <c r="D84" s="17"/>
      <c r="E84" s="17"/>
      <c r="F84" s="9">
        <f>IF(COUNT(F80:F83)&lt;4,"",SUM(F80:F83))</f>
        <v>6.9894431412976861</v>
      </c>
      <c r="G84" s="9">
        <f>IF(COUNT(G80:G83)&lt;4,"",SUM(G80:G83))</f>
        <v>0.99999999999999989</v>
      </c>
      <c r="H84" s="18" t="s">
        <v>115</v>
      </c>
      <c r="I84" s="9">
        <f>IF(COUNT(I80:I83)&lt;4,"",AVERAGE(I80:I83))</f>
        <v>4.2768637094135258</v>
      </c>
      <c r="J84" s="3"/>
      <c r="K84" s="3"/>
    </row>
    <row r="85" spans="1:11" ht="15">
      <c r="A85" s="3"/>
      <c r="B85" s="17"/>
      <c r="C85" s="17"/>
      <c r="D85" s="17"/>
      <c r="E85" s="17"/>
      <c r="F85" s="9"/>
      <c r="G85" s="9"/>
      <c r="H85" s="18" t="s">
        <v>116</v>
      </c>
      <c r="I85" s="9">
        <f>IF(I84="","",(I84-4)/(4-1))</f>
        <v>9.2287903137841923E-2</v>
      </c>
      <c r="J85" s="3"/>
      <c r="K85" s="3"/>
    </row>
    <row r="86" spans="1:11" ht="15">
      <c r="A86" s="3"/>
      <c r="B86" s="17"/>
      <c r="C86" s="17"/>
      <c r="D86" s="17"/>
      <c r="E86" s="17"/>
      <c r="F86" s="9"/>
      <c r="G86" s="9"/>
      <c r="H86" s="18" t="s">
        <v>14</v>
      </c>
      <c r="I86" s="9">
        <f>VLOOKUP(4,Шкала_Саати!$D$4:$E$13,2,FALSE)</f>
        <v>0.9</v>
      </c>
      <c r="J86" s="3"/>
      <c r="K86" s="3"/>
    </row>
    <row r="87" spans="1:11" ht="15">
      <c r="A87" s="3"/>
      <c r="B87" s="17"/>
      <c r="C87" s="17"/>
      <c r="D87" s="17"/>
      <c r="E87" s="17"/>
      <c r="F87" s="9"/>
      <c r="G87" s="9"/>
      <c r="H87" s="18" t="s">
        <v>117</v>
      </c>
      <c r="I87" s="9">
        <f>IF(COUNT(I85:I86)&lt;2,"",I85/I86)</f>
        <v>0.10254211459760214</v>
      </c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</sheetData>
  <mergeCells count="9">
    <mergeCell ref="A42:I42"/>
    <mergeCell ref="A54:I54"/>
    <mergeCell ref="A66:I66"/>
    <mergeCell ref="A78:I78"/>
    <mergeCell ref="A1:K1"/>
    <mergeCell ref="A2:K2"/>
    <mergeCell ref="A4:K4"/>
    <mergeCell ref="A18:I18"/>
    <mergeCell ref="A30:I30"/>
  </mergeCells>
  <conditionalFormatting sqref="I27">
    <cfRule type="cellIs" dxfId="29" priority="3" operator="greaterThan">
      <formula>0.1</formula>
    </cfRule>
    <cfRule type="cellIs" dxfId="28" priority="4" operator="lessThanOrEqual">
      <formula>0.1</formula>
    </cfRule>
  </conditionalFormatting>
  <conditionalFormatting sqref="I39">
    <cfRule type="cellIs" dxfId="27" priority="5" operator="greaterThan">
      <formula>0.1</formula>
    </cfRule>
    <cfRule type="cellIs" dxfId="26" priority="6" operator="lessThanOrEqual">
      <formula>0.1</formula>
    </cfRule>
  </conditionalFormatting>
  <conditionalFormatting sqref="I51">
    <cfRule type="cellIs" dxfId="25" priority="7" operator="greaterThan">
      <formula>0.1</formula>
    </cfRule>
    <cfRule type="cellIs" dxfId="24" priority="8" operator="lessThanOrEqual">
      <formula>0.1</formula>
    </cfRule>
  </conditionalFormatting>
  <conditionalFormatting sqref="I63">
    <cfRule type="cellIs" dxfId="23" priority="9" operator="greaterThan">
      <formula>0.1</formula>
    </cfRule>
    <cfRule type="cellIs" dxfId="22" priority="10" operator="lessThanOrEqual">
      <formula>0.1</formula>
    </cfRule>
  </conditionalFormatting>
  <conditionalFormatting sqref="I75">
    <cfRule type="cellIs" dxfId="21" priority="11" operator="greaterThan">
      <formula>0.1</formula>
    </cfRule>
    <cfRule type="cellIs" dxfId="20" priority="12" operator="lessThanOrEqual">
      <formula>0.1</formula>
    </cfRule>
  </conditionalFormatting>
  <conditionalFormatting sqref="I87">
    <cfRule type="cellIs" dxfId="19" priority="13" operator="greaterThan">
      <formula>0.1</formula>
    </cfRule>
    <cfRule type="cellIs" dxfId="18" priority="14" operator="lessThanOrEqual">
      <formula>0.1</formula>
    </cfRule>
  </conditionalFormatting>
  <conditionalFormatting sqref="K15">
    <cfRule type="cellIs" dxfId="17" priority="1" operator="greaterThan">
      <formula>0.1</formula>
    </cfRule>
    <cfRule type="cellIs" dxfId="16" priority="2" operator="lessThanOrEqual">
      <formula>0.1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5"/>
  <sheetViews>
    <sheetView zoomScale="68" workbookViewId="0">
      <pane ySplit="2" topLeftCell="A54" activePane="bottomLeft" state="frozen"/>
      <selection pane="bottomLeft" activeCell="N84" sqref="N84"/>
    </sheetView>
  </sheetViews>
  <sheetFormatPr baseColWidth="10" defaultColWidth="8.83203125" defaultRowHeight="14"/>
  <cols>
    <col min="1" max="1" width="48" style="8" customWidth="1"/>
    <col min="2" max="7" width="11" style="8" customWidth="1"/>
    <col min="8" max="9" width="18" style="8" customWidth="1"/>
    <col min="10" max="16384" width="8.83203125" style="8"/>
  </cols>
  <sheetData>
    <row r="1" spans="1:11" ht="18">
      <c r="A1" s="11" t="s">
        <v>130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5" t="s">
        <v>131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>
      <c r="A4" s="16" t="s">
        <v>132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5">
      <c r="A5" s="5"/>
      <c r="B5" s="5" t="s">
        <v>105</v>
      </c>
      <c r="C5" s="5" t="s">
        <v>106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113</v>
      </c>
      <c r="K5" s="5" t="s">
        <v>114</v>
      </c>
    </row>
    <row r="6" spans="1:11" ht="15">
      <c r="A6" s="5" t="s">
        <v>105</v>
      </c>
      <c r="B6" s="9">
        <v>1</v>
      </c>
      <c r="C6" s="9">
        <f>IF(COUNT(Недикова!C6,Символокова!C6,Бредихин!C6)&lt;3,"",POWER(PRODUCT(Недикова!C6,Символокова!C6,Бредихин!C6),1/3))</f>
        <v>2.7589241763811208</v>
      </c>
      <c r="D6" s="9">
        <f>IF(COUNT(Недикова!D6,Символокова!D6,Бредихин!D6)&lt;3,"",POWER(PRODUCT(Недикова!D6,Символокова!D6,Бредихин!D6),1/3))</f>
        <v>6.0822019955734001</v>
      </c>
      <c r="E6" s="9">
        <f>IF(COUNT(Недикова!E6,Символокова!E6,Бредихин!E6)&lt;3,"",POWER(PRODUCT(Недикова!E6,Символокова!E6,Бредихин!E6),1/3))</f>
        <v>0.69336127435063466</v>
      </c>
      <c r="F6" s="9">
        <f>IF(COUNT(Недикова!F6,Символокова!F6,Бредихин!F6)&lt;3,"",POWER(PRODUCT(Недикова!F6,Символокова!F6,Бредихин!F6),1/3))</f>
        <v>2.7589241763811208</v>
      </c>
      <c r="G6" s="9">
        <f>IF(COUNT(Недикова!G6,Символокова!G6,Бредихин!G6)&lt;3,"",POWER(PRODUCT(Недикова!G6,Символокова!G6,Бредихин!G6),1/3))</f>
        <v>3.2710663101885893</v>
      </c>
      <c r="H6" s="9">
        <f t="shared" ref="H6:H11" si="0">IF(COUNT(B6:G6)&lt;6,"",PRODUCT(B6:G6)^(1/6))</f>
        <v>2.1720253176048692</v>
      </c>
      <c r="I6" s="9">
        <f>IF(H12="","",H6/H12)</f>
        <v>0.287803016951104</v>
      </c>
      <c r="J6" s="9">
        <f t="shared" ref="J6:J11" si="1">IF(I6="","",B6*$I$6 + C6*$I$7 + D6*$I$8 + E6*$I$9 + F6*$I$10 + G6*$I$11)</f>
        <v>1.7647819782528089</v>
      </c>
      <c r="K6" s="9">
        <f t="shared" ref="K6:K11" si="2">IFERROR(J6/I6,"")</f>
        <v>6.1319092376041171</v>
      </c>
    </row>
    <row r="7" spans="1:11" ht="15">
      <c r="A7" s="5" t="s">
        <v>106</v>
      </c>
      <c r="B7" s="9">
        <f>IF(C6="","",1/C6)</f>
        <v>0.36246012433429736</v>
      </c>
      <c r="C7" s="9">
        <v>1</v>
      </c>
      <c r="D7" s="9">
        <f>IF(COUNT(Недикова!D7,Символокова!D7,Бредихин!D7)&lt;3,"",POWER(PRODUCT(Недикова!D7,Символокова!D7,Бредихин!D7),1/3))</f>
        <v>4.2171633265087456</v>
      </c>
      <c r="E7" s="9">
        <f>IF(COUNT(Недикова!E7,Символокова!E7,Бредихин!E7)&lt;3,"",POWER(PRODUCT(Недикова!E7,Символокова!E7,Бредихин!E7),1/3))</f>
        <v>0.30571070873287992</v>
      </c>
      <c r="F7" s="9">
        <f>IF(COUNT(Недикова!F7,Символокова!F7,Бредихин!F7)&lt;3,"",POWER(PRODUCT(Недикова!F7,Символокова!F7,Бредихин!F7),1/3))</f>
        <v>2.7589241763811208</v>
      </c>
      <c r="G7" s="9">
        <f>IF(COUNT(Недикова!G7,Символокова!G7,Бредихин!G7)&lt;3,"",POWER(PRODUCT(Недикова!G7,Символокова!G7,Бредихин!G7),1/3))</f>
        <v>1.7099759466766968</v>
      </c>
      <c r="H7" s="9">
        <f t="shared" si="0"/>
        <v>1.1408280191702929</v>
      </c>
      <c r="I7" s="9">
        <f>IF(H12="","",H7/H12)</f>
        <v>0.15116478757329663</v>
      </c>
      <c r="J7" s="9">
        <f t="shared" si="1"/>
        <v>0.95048649315176303</v>
      </c>
      <c r="K7" s="9">
        <f t="shared" si="2"/>
        <v>6.2877506621103283</v>
      </c>
    </row>
    <row r="8" spans="1:11" ht="15">
      <c r="A8" s="5" t="s">
        <v>107</v>
      </c>
      <c r="B8" s="9">
        <f>IF(D6="","",1/D6)</f>
        <v>0.164414138288698</v>
      </c>
      <c r="C8" s="9">
        <f>IF(D7="","",1/D7)</f>
        <v>0.23712622029933755</v>
      </c>
      <c r="D8" s="9">
        <v>1</v>
      </c>
      <c r="E8" s="9">
        <f>IF(COUNT(Недикова!E8,Символокова!E8,Бредихин!E8)&lt;3,"",POWER(PRODUCT(Недикова!E8,Символокова!E8,Бредихин!E8),1/3))</f>
        <v>0.17878070701931359</v>
      </c>
      <c r="F8" s="9">
        <f>IF(COUNT(Недикова!F8,Символокова!F8,Бредихин!F8)&lt;3,"",POWER(PRODUCT(Недикова!F8,Символокова!F8,Бредихин!F8),1/3))</f>
        <v>0.48074985676913612</v>
      </c>
      <c r="G8" s="9">
        <f>IF(COUNT(Недикова!G8,Символокова!G8,Бредихин!G8)&lt;3,"",POWER(PRODUCT(Недикова!G8,Символокова!G8,Бредихин!G8),1/3))</f>
        <v>0.33333333333333337</v>
      </c>
      <c r="H8" s="9">
        <f t="shared" si="0"/>
        <v>0.32211148977327048</v>
      </c>
      <c r="I8" s="9">
        <f>IF(H12="","",H8/H12)</f>
        <v>4.2681205324802102E-2</v>
      </c>
      <c r="J8" s="9">
        <f t="shared" si="1"/>
        <v>0.26055842961225378</v>
      </c>
      <c r="K8" s="9">
        <f t="shared" si="2"/>
        <v>6.1047579989697001</v>
      </c>
    </row>
    <row r="9" spans="1:11" ht="15">
      <c r="A9" s="5" t="s">
        <v>108</v>
      </c>
      <c r="B9" s="9">
        <f>IF(E6="","",1/E6)</f>
        <v>1.4422495703074085</v>
      </c>
      <c r="C9" s="9">
        <f>IF(E7="","",1/E7)</f>
        <v>3.2710663101885893</v>
      </c>
      <c r="D9" s="9">
        <f>IF(E8="","",1/E8)</f>
        <v>5.593444710406982</v>
      </c>
      <c r="E9" s="9">
        <v>1</v>
      </c>
      <c r="F9" s="9">
        <f>IF(COUNT(Недикова!F9,Символокова!F9,Бредихин!F9)&lt;3,"",POWER(PRODUCT(Недикова!F9,Символокова!F9,Бредихин!F9),1/3))</f>
        <v>3.2710663101885893</v>
      </c>
      <c r="G9" s="9">
        <f>IF(COUNT(Недикова!G9,Символокова!G9,Бредихин!G9)&lt;3,"",POWER(PRODUCT(Недикова!G9,Символокова!G9,Бредихин!G9),1/3))</f>
        <v>2.7589241763811208</v>
      </c>
      <c r="H9" s="9">
        <f t="shared" si="0"/>
        <v>2.48965806828173</v>
      </c>
      <c r="I9" s="9">
        <f>IF(H12="","",H9/H12)</f>
        <v>0.32989076942172624</v>
      </c>
      <c r="J9" s="9">
        <f t="shared" si="1"/>
        <v>2.0429953133559207</v>
      </c>
      <c r="K9" s="9">
        <f t="shared" si="2"/>
        <v>6.1929447645265681</v>
      </c>
    </row>
    <row r="10" spans="1:11" ht="15">
      <c r="A10" s="5" t="s">
        <v>109</v>
      </c>
      <c r="B10" s="9">
        <f>IF(F6="","",1/F6)</f>
        <v>0.36246012433429736</v>
      </c>
      <c r="C10" s="9">
        <f>IF(F7="","",1/F7)</f>
        <v>0.36246012433429736</v>
      </c>
      <c r="D10" s="9">
        <f>IF(F8="","",1/F8)</f>
        <v>2.0800838230519041</v>
      </c>
      <c r="E10" s="9">
        <f>IF(F9="","",1/F9)</f>
        <v>0.30571070873287992</v>
      </c>
      <c r="F10" s="9">
        <v>1</v>
      </c>
      <c r="G10" s="9">
        <f>IF(COUNT(Недикова!G10,Символокова!G10,Бредихин!G10)&lt;3,"",POWER(PRODUCT(Недикова!G10,Символокова!G10,Бредихин!G10),1/3))</f>
        <v>1</v>
      </c>
      <c r="H10" s="9">
        <f t="shared" si="0"/>
        <v>0.66117840390897076</v>
      </c>
      <c r="I10" s="9">
        <f>IF(H12="","",H10/H12)</f>
        <v>8.7609079804720047E-2</v>
      </c>
      <c r="J10" s="9">
        <f t="shared" si="1"/>
        <v>0.53720017140456744</v>
      </c>
      <c r="K10" s="9">
        <f t="shared" si="2"/>
        <v>6.131786483798054</v>
      </c>
    </row>
    <row r="11" spans="1:11" ht="15">
      <c r="A11" s="5" t="s">
        <v>110</v>
      </c>
      <c r="B11" s="9">
        <f>IF(G6="","",1/G6)</f>
        <v>0.30571070873287992</v>
      </c>
      <c r="C11" s="9">
        <f>IF(G7="","",1/G7)</f>
        <v>0.58480354764257325</v>
      </c>
      <c r="D11" s="9">
        <f>IF(G8="","",1/G8)</f>
        <v>2.9999999999999996</v>
      </c>
      <c r="E11" s="9">
        <f>IF(G9="","",1/G9)</f>
        <v>0.36246012433429736</v>
      </c>
      <c r="F11" s="9">
        <f>IF(G10="","",1/G10)</f>
        <v>1</v>
      </c>
      <c r="G11" s="9">
        <v>1</v>
      </c>
      <c r="H11" s="9">
        <f t="shared" si="0"/>
        <v>0.76111513255694052</v>
      </c>
      <c r="I11" s="9">
        <f>IF(H12="","",H11/H12)</f>
        <v>0.100851140924351</v>
      </c>
      <c r="J11" s="9">
        <f t="shared" si="1"/>
        <v>0.61246225434389612</v>
      </c>
      <c r="K11" s="9">
        <f t="shared" si="2"/>
        <v>6.07293332262158</v>
      </c>
    </row>
    <row r="12" spans="1:11" ht="15">
      <c r="B12" s="20"/>
      <c r="C12" s="20"/>
      <c r="D12" s="20"/>
      <c r="E12" s="20"/>
      <c r="F12" s="20"/>
      <c r="G12" s="20"/>
      <c r="H12" s="9">
        <f>IF(COUNT(H6:H11)&lt;6,"",SUM(H6:H11))</f>
        <v>7.5469164312960739</v>
      </c>
      <c r="I12" s="9">
        <f>IF(COUNT(I6:I11)&lt;6,"",SUM(I6:I11))</f>
        <v>1.0000000000000002</v>
      </c>
      <c r="J12" s="21" t="s">
        <v>115</v>
      </c>
      <c r="K12" s="9">
        <f>IF(COUNT(K6:K11)&lt;6,"",AVERAGE(K6:K11))</f>
        <v>6.1536804116050581</v>
      </c>
    </row>
    <row r="13" spans="1:11" ht="15">
      <c r="B13" s="20"/>
      <c r="C13" s="20"/>
      <c r="D13" s="20"/>
      <c r="E13" s="20"/>
      <c r="F13" s="20"/>
      <c r="G13" s="20"/>
      <c r="H13" s="9"/>
      <c r="I13" s="9"/>
      <c r="J13" s="21" t="s">
        <v>116</v>
      </c>
      <c r="K13" s="9">
        <f>IF(K12="","",(K12-6)/(6-1))</f>
        <v>3.0736082321011614E-2</v>
      </c>
    </row>
    <row r="14" spans="1:11" ht="15">
      <c r="B14" s="20"/>
      <c r="C14" s="20"/>
      <c r="D14" s="20"/>
      <c r="E14" s="20"/>
      <c r="F14" s="20"/>
      <c r="G14" s="20"/>
      <c r="H14" s="9"/>
      <c r="I14" s="9"/>
      <c r="J14" s="21" t="s">
        <v>14</v>
      </c>
      <c r="K14" s="9">
        <f>VLOOKUP(6,Шкала_Саати!$D$4:$E$13,2,FALSE)</f>
        <v>1.24</v>
      </c>
    </row>
    <row r="15" spans="1:11" ht="15">
      <c r="B15" s="20"/>
      <c r="C15" s="20"/>
      <c r="D15" s="20"/>
      <c r="E15" s="20"/>
      <c r="F15" s="20"/>
      <c r="G15" s="20"/>
      <c r="H15" s="9"/>
      <c r="I15" s="9"/>
      <c r="J15" s="21" t="s">
        <v>117</v>
      </c>
      <c r="K15" s="9">
        <f>IF(COUNT(K13:K14)&lt;2,"",K13/K14)</f>
        <v>2.4787163162106142E-2</v>
      </c>
    </row>
    <row r="18" spans="1:9">
      <c r="A18" s="16" t="s">
        <v>133</v>
      </c>
      <c r="B18" s="16"/>
      <c r="C18" s="16"/>
      <c r="D18" s="16"/>
      <c r="E18" s="16"/>
      <c r="F18" s="16"/>
      <c r="G18" s="16"/>
      <c r="H18" s="16"/>
      <c r="I18" s="16"/>
    </row>
    <row r="19" spans="1:9" ht="15">
      <c r="A19" s="5"/>
      <c r="B19" s="5" t="s">
        <v>119</v>
      </c>
      <c r="C19" s="5" t="s">
        <v>120</v>
      </c>
      <c r="D19" s="5" t="s">
        <v>121</v>
      </c>
      <c r="E19" s="5" t="s">
        <v>122</v>
      </c>
      <c r="F19" s="5" t="s">
        <v>111</v>
      </c>
      <c r="G19" s="5" t="s">
        <v>112</v>
      </c>
      <c r="H19" s="5" t="s">
        <v>113</v>
      </c>
      <c r="I19" s="5" t="s">
        <v>114</v>
      </c>
    </row>
    <row r="20" spans="1:9" ht="15">
      <c r="A20" s="5" t="s">
        <v>119</v>
      </c>
      <c r="B20" s="9">
        <v>1</v>
      </c>
      <c r="C20" s="9">
        <f>IF(COUNT(Недикова!C20,Символокова!C20,Бредихин!C20)&lt;3,"",POWER(PRODUCT(Недикова!C20,Символокова!C20,Бредихин!C20),1/3))</f>
        <v>0.20000000000000007</v>
      </c>
      <c r="D20" s="9">
        <f>IF(COUNT(Недикова!D20,Символокова!D20,Бредихин!D20)&lt;3,"",POWER(PRODUCT(Недикова!D20,Символокова!D20,Бредихин!D20),1/3))</f>
        <v>0.28114422176724974</v>
      </c>
      <c r="E20" s="9">
        <f>IF(COUNT(Недикова!E20,Символокова!E20,Бредихин!E20)&lt;3,"",POWER(PRODUCT(Недикова!E20,Символокова!E20,Бредихин!E20),1/3))</f>
        <v>1.4422495703074083</v>
      </c>
      <c r="F20" s="9">
        <f>IF(COUNT(B20:E20)&lt;4,"",PRODUCT(B20:E20)^(1/4))</f>
        <v>0.53364186586012952</v>
      </c>
      <c r="G20" s="9">
        <f>IF(F24="","",F20/F24)</f>
        <v>0.10107299769272647</v>
      </c>
      <c r="H20" s="9">
        <f>IF(G20="","",B20*$G$20 + C20*$G$21 + D20*$G$22 + E20*$G$23)</f>
        <v>0.40530861960475156</v>
      </c>
      <c r="I20" s="9">
        <f>IFERROR(H20/G20,"")</f>
        <v>4.0100583623425949</v>
      </c>
    </row>
    <row r="21" spans="1:9" ht="15">
      <c r="A21" s="5" t="s">
        <v>120</v>
      </c>
      <c r="B21" s="9">
        <f>IF(C20="","",1/C20)</f>
        <v>4.9999999999999982</v>
      </c>
      <c r="C21" s="9">
        <v>1</v>
      </c>
      <c r="D21" s="9">
        <f>IF(COUNT(Недикова!D21,Символокова!D21,Бредихин!D21)&lt;3,"",POWER(PRODUCT(Недикова!D21,Символокова!D21,Бредихин!D21),1/3))</f>
        <v>2.0800838230519041</v>
      </c>
      <c r="E21" s="9">
        <f>IF(COUNT(Недикова!E21,Символокова!E21,Бредихин!E21)&lt;3,"",POWER(PRODUCT(Недикова!E21,Символокова!E21,Бредихин!E21),1/3))</f>
        <v>4.2171633265087456</v>
      </c>
      <c r="F21" s="9">
        <f>IF(COUNT(B21:E21)&lt;4,"",PRODUCT(B21:E21)^(1/4))</f>
        <v>2.5734623299932151</v>
      </c>
      <c r="G21" s="9">
        <f>IF(F24="","",F21/F24)</f>
        <v>0.48741968871291363</v>
      </c>
      <c r="H21" s="9">
        <f>IF(G21="","",B21*$G$20 + C21*$G$21 + D21*$G$22 + E21*$G$23)</f>
        <v>2.0163531753582147</v>
      </c>
      <c r="I21" s="9">
        <f>IFERROR(H21/G21,"")</f>
        <v>4.1367905770951134</v>
      </c>
    </row>
    <row r="22" spans="1:9" ht="15">
      <c r="A22" s="5" t="s">
        <v>121</v>
      </c>
      <c r="B22" s="9">
        <f>IF(D20="","",1/D20)</f>
        <v>3.556893304490063</v>
      </c>
      <c r="C22" s="9">
        <f>IF(D21="","",1/D21)</f>
        <v>0.48074985676913612</v>
      </c>
      <c r="D22" s="9">
        <v>1</v>
      </c>
      <c r="E22" s="9">
        <f>IF(COUNT(Недикова!E22,Символокова!E22,Бредихин!E22)&lt;3,"",POWER(PRODUCT(Недикова!E22,Символокова!E22,Бредихин!E22),1/3))</f>
        <v>5.5934447104069847</v>
      </c>
      <c r="F22" s="9">
        <f>IF(COUNT(B22:E22)&lt;4,"",PRODUCT(B22:E22)^(1/4))</f>
        <v>1.7586010889847277</v>
      </c>
      <c r="G22" s="9">
        <f>IF(F24="","",F22/F24)</f>
        <v>0.33308309407637093</v>
      </c>
      <c r="H22" s="9">
        <f>IF(G22="","",B22*$G$20 + C22*$G$21 + D22*$G$22 + E22*$G$23)</f>
        <v>1.3655774442002508</v>
      </c>
      <c r="I22" s="9">
        <f>IFERROR(H22/G22,"")</f>
        <v>4.0998101329248025</v>
      </c>
    </row>
    <row r="23" spans="1:9" ht="15">
      <c r="A23" s="5" t="s">
        <v>122</v>
      </c>
      <c r="B23" s="9">
        <f>IF(E20="","",1/E20)</f>
        <v>0.69336127435063477</v>
      </c>
      <c r="C23" s="9">
        <f>IF(E21="","",1/E21)</f>
        <v>0.23712622029933755</v>
      </c>
      <c r="D23" s="9">
        <f>IF(E22="","",1/E22)</f>
        <v>0.17878070701931351</v>
      </c>
      <c r="E23" s="9">
        <v>1</v>
      </c>
      <c r="F23" s="9">
        <f>IF(COUNT(B23:E23)&lt;4,"",PRODUCT(B23:E23)^(1/4))</f>
        <v>0.41406159694040312</v>
      </c>
      <c r="G23" s="9">
        <f>IF(F24="","",F23/F24)</f>
        <v>7.8424219517988933E-2</v>
      </c>
      <c r="H23" s="9">
        <f>IF(G23="","",B23*$G$20 + C23*$G$21 + D23*$G$22 + E23*$G$23)</f>
        <v>0.32363314153978351</v>
      </c>
      <c r="I23" s="9">
        <f>IFERROR(H23/G23,"")</f>
        <v>4.12669891430094</v>
      </c>
    </row>
    <row r="24" spans="1:9" ht="15">
      <c r="B24" s="20"/>
      <c r="C24" s="20"/>
      <c r="D24" s="20"/>
      <c r="E24" s="20"/>
      <c r="F24" s="9">
        <f>IF(COUNT(F20:F23)&lt;4,"",SUM(F20:F23))</f>
        <v>5.2797668817784755</v>
      </c>
      <c r="G24" s="9">
        <f>IF(COUNT(G20:G23)&lt;4,"",SUM(G20:G23))</f>
        <v>1</v>
      </c>
      <c r="H24" s="21" t="s">
        <v>115</v>
      </c>
      <c r="I24" s="9">
        <f>IF(COUNT(I20:I23)&lt;4,"",AVERAGE(I20:I23))</f>
        <v>4.0933394966658625</v>
      </c>
    </row>
    <row r="25" spans="1:9" ht="15">
      <c r="B25" s="20"/>
      <c r="C25" s="20"/>
      <c r="D25" s="20"/>
      <c r="E25" s="20"/>
      <c r="F25" s="9"/>
      <c r="G25" s="9"/>
      <c r="H25" s="21" t="s">
        <v>116</v>
      </c>
      <c r="I25" s="9">
        <f>IF(I24="","",(I24-4)/(4-1))</f>
        <v>3.1113165555287498E-2</v>
      </c>
    </row>
    <row r="26" spans="1:9" ht="15">
      <c r="B26" s="20"/>
      <c r="C26" s="20"/>
      <c r="D26" s="20"/>
      <c r="E26" s="20"/>
      <c r="F26" s="9"/>
      <c r="G26" s="9"/>
      <c r="H26" s="21" t="s">
        <v>14</v>
      </c>
      <c r="I26" s="9">
        <f>VLOOKUP(4,Шкала_Саати!$D$4:$E$13,2,FALSE)</f>
        <v>0.9</v>
      </c>
    </row>
    <row r="27" spans="1:9" ht="15">
      <c r="B27" s="20"/>
      <c r="C27" s="20"/>
      <c r="D27" s="20"/>
      <c r="E27" s="20"/>
      <c r="F27" s="9"/>
      <c r="G27" s="9"/>
      <c r="H27" s="21" t="s">
        <v>117</v>
      </c>
      <c r="I27" s="9">
        <f>IF(COUNT(I25:I26)&lt;2,"",I25/I26)</f>
        <v>3.4570183950319439E-2</v>
      </c>
    </row>
    <row r="30" spans="1:9">
      <c r="A30" s="16" t="s">
        <v>134</v>
      </c>
      <c r="B30" s="16"/>
      <c r="C30" s="16"/>
      <c r="D30" s="16"/>
      <c r="E30" s="16"/>
      <c r="F30" s="16"/>
      <c r="G30" s="16"/>
      <c r="H30" s="16"/>
      <c r="I30" s="16"/>
    </row>
    <row r="31" spans="1:9" ht="15">
      <c r="A31" s="5"/>
      <c r="B31" s="5" t="s">
        <v>119</v>
      </c>
      <c r="C31" s="5" t="s">
        <v>120</v>
      </c>
      <c r="D31" s="5" t="s">
        <v>121</v>
      </c>
      <c r="E31" s="5" t="s">
        <v>122</v>
      </c>
      <c r="F31" s="5" t="s">
        <v>111</v>
      </c>
      <c r="G31" s="5" t="s">
        <v>112</v>
      </c>
      <c r="H31" s="5" t="s">
        <v>113</v>
      </c>
      <c r="I31" s="5" t="s">
        <v>114</v>
      </c>
    </row>
    <row r="32" spans="1:9" ht="15">
      <c r="A32" s="5" t="s">
        <v>119</v>
      </c>
      <c r="B32" s="9">
        <v>1</v>
      </c>
      <c r="C32" s="9">
        <f>IF(COUNT(Недикова!C32,Символокова!C32,Бредихин!C32)&lt;3,"",POWER(PRODUCT(Недикова!C32,Символокова!C32,Бредихин!C32),1/3))</f>
        <v>0.36246012433429736</v>
      </c>
      <c r="D32" s="9">
        <f>IF(COUNT(Недикова!D32,Символокова!D32,Бредихин!D32)&lt;3,"",POWER(PRODUCT(Недикова!D32,Символокова!D32,Бредихин!D32),1/3))</f>
        <v>1</v>
      </c>
      <c r="E32" s="9">
        <f>IF(COUNT(Недикова!E32,Символокова!E32,Бредихин!E32)&lt;3,"",POWER(PRODUCT(Недикова!E32,Символокова!E32,Бредихин!E32),1/3))</f>
        <v>1.4422495703074083</v>
      </c>
      <c r="F32" s="9">
        <f>IF(COUNT(B32:E32)&lt;4,"",PRODUCT(B32:E32)^(1/4))</f>
        <v>0.85030584285860566</v>
      </c>
      <c r="G32" s="9">
        <f>IF(F36="","",F32/F36)</f>
        <v>0.18443494448000269</v>
      </c>
      <c r="H32" s="9">
        <f>IF(G32="","",B32*$G$32 + C32*$G$33 + D32*$G$34 + E32*$G$35)</f>
        <v>0.73857940580680037</v>
      </c>
      <c r="I32" s="9">
        <f>IFERROR(H32/G32,"")</f>
        <v>4.0045524338630996</v>
      </c>
    </row>
    <row r="33" spans="1:9" ht="15">
      <c r="A33" s="5" t="s">
        <v>120</v>
      </c>
      <c r="B33" s="9">
        <f>IF(C32="","",1/C32)</f>
        <v>2.7589241763811208</v>
      </c>
      <c r="C33" s="9">
        <v>1</v>
      </c>
      <c r="D33" s="9">
        <f>IF(COUNT(Недикова!D33,Символокова!D33,Бредихин!D33)&lt;3,"",POWER(PRODUCT(Недикова!D33,Символокова!D33,Бредихин!D33),1/3))</f>
        <v>3.5568933044900626</v>
      </c>
      <c r="E33" s="9">
        <f>IF(COUNT(Недикова!E33,Символокова!E33,Бредихин!E33)&lt;3,"",POWER(PRODUCT(Недикова!E33,Символокова!E33,Бредихин!E33),1/3))</f>
        <v>2.9999999999999996</v>
      </c>
      <c r="F33" s="9">
        <f>IF(COUNT(B33:E33)&lt;4,"",PRODUCT(B33:E33)^(1/4))</f>
        <v>2.3293404281544889</v>
      </c>
      <c r="G33" s="9">
        <f>IF(F36="","",F33/F36)</f>
        <v>0.50524382038515225</v>
      </c>
      <c r="H33" s="9">
        <f>IF(G33="","",B33*$G$32 + C33*$G$33 + D33*$G$34 + E33*$G$35)</f>
        <v>2.0414396545621467</v>
      </c>
      <c r="I33" s="9">
        <f>IFERROR(H33/G33,"")</f>
        <v>4.0405039551120829</v>
      </c>
    </row>
    <row r="34" spans="1:9" ht="15">
      <c r="A34" s="5" t="s">
        <v>121</v>
      </c>
      <c r="B34" s="9">
        <f>IF(D32="","",1/D32)</f>
        <v>1</v>
      </c>
      <c r="C34" s="9">
        <f>IF(D33="","",1/D33)</f>
        <v>0.28114422176724979</v>
      </c>
      <c r="D34" s="9">
        <v>1</v>
      </c>
      <c r="E34" s="9">
        <f>IF(COUNT(Недикова!E34,Символокова!E34,Бредихин!E34)&lt;3,"",POWER(PRODUCT(Недикова!E34,Символокова!E34,Бредихин!E34),1/3))</f>
        <v>1.4422495703074083</v>
      </c>
      <c r="F34" s="9">
        <f>IF(COUNT(B34:E34)&lt;4,"",PRODUCT(B34:E34)^(1/4))</f>
        <v>0.79798071372256274</v>
      </c>
      <c r="G34" s="9">
        <f>IF(F36="","",F34/F36)</f>
        <v>0.17308540199694603</v>
      </c>
      <c r="H34" s="9">
        <f>IF(G34="","",B34*$G$32 + C34*$G$33 + D34*$G$34 + E34*$G$35)</f>
        <v>0.6974950485357585</v>
      </c>
      <c r="I34" s="9">
        <f>IFERROR(H34/G34,"")</f>
        <v>4.0297739756704916</v>
      </c>
    </row>
    <row r="35" spans="1:9" ht="15">
      <c r="A35" s="5" t="s">
        <v>122</v>
      </c>
      <c r="B35" s="9">
        <f>IF(E32="","",1/E32)</f>
        <v>0.69336127435063477</v>
      </c>
      <c r="C35" s="9">
        <f>IF(E33="","",1/E33)</f>
        <v>0.33333333333333337</v>
      </c>
      <c r="D35" s="9">
        <f>IF(E34="","",1/E34)</f>
        <v>0.69336127435063477</v>
      </c>
      <c r="E35" s="9">
        <v>1</v>
      </c>
      <c r="F35" s="9">
        <f>IF(COUNT(B35:E35)&lt;4,"",PRODUCT(B35:E35)^(1/4))</f>
        <v>0.63270239322449306</v>
      </c>
      <c r="G35" s="9">
        <f>IF(F36="","",F35/F36)</f>
        <v>0.13723583313789903</v>
      </c>
      <c r="H35" s="9">
        <f>IF(G35="","",B35*$G$32 + C35*$G$33 + D35*$G$34 + E35*$G$35)</f>
        <v>0.55354120297248743</v>
      </c>
      <c r="I35" s="9">
        <f>IFERROR(H35/G35,"")</f>
        <v>4.0335034248400072</v>
      </c>
    </row>
    <row r="36" spans="1:9" ht="15">
      <c r="B36" s="20"/>
      <c r="C36" s="20"/>
      <c r="D36" s="20"/>
      <c r="E36" s="20"/>
      <c r="F36" s="9">
        <f>IF(COUNT(F32:F35)&lt;4,"",SUM(F32:F35))</f>
        <v>4.6103293779601504</v>
      </c>
      <c r="G36" s="9">
        <f>IF(COUNT(G32:G35)&lt;4,"",SUM(G32:G35))</f>
        <v>1</v>
      </c>
      <c r="H36" s="21" t="s">
        <v>115</v>
      </c>
      <c r="I36" s="9">
        <f>IF(COUNT(I32:I35)&lt;4,"",AVERAGE(I32:I35))</f>
        <v>4.0270834473714201</v>
      </c>
    </row>
    <row r="37" spans="1:9" ht="15">
      <c r="B37" s="20"/>
      <c r="C37" s="20"/>
      <c r="D37" s="20"/>
      <c r="E37" s="20"/>
      <c r="F37" s="9"/>
      <c r="G37" s="9"/>
      <c r="H37" s="21" t="s">
        <v>116</v>
      </c>
      <c r="I37" s="9">
        <f>IF(I36="","",(I36-4)/(4-1))</f>
        <v>9.0278157904733671E-3</v>
      </c>
    </row>
    <row r="38" spans="1:9" ht="15">
      <c r="B38" s="20"/>
      <c r="C38" s="20"/>
      <c r="D38" s="20"/>
      <c r="E38" s="20"/>
      <c r="F38" s="9"/>
      <c r="G38" s="9"/>
      <c r="H38" s="21" t="s">
        <v>14</v>
      </c>
      <c r="I38" s="9">
        <f>VLOOKUP(4,Шкала_Саати!$D$4:$E$13,2,FALSE)</f>
        <v>0.9</v>
      </c>
    </row>
    <row r="39" spans="1:9" ht="15">
      <c r="B39" s="20"/>
      <c r="C39" s="20"/>
      <c r="D39" s="20"/>
      <c r="E39" s="20"/>
      <c r="F39" s="9"/>
      <c r="G39" s="9"/>
      <c r="H39" s="21" t="s">
        <v>117</v>
      </c>
      <c r="I39" s="9">
        <f>IF(COUNT(I37:I38)&lt;2,"",I37/I38)</f>
        <v>1.0030906433859297E-2</v>
      </c>
    </row>
    <row r="42" spans="1:9">
      <c r="A42" s="16" t="s">
        <v>135</v>
      </c>
      <c r="B42" s="16"/>
      <c r="C42" s="16"/>
      <c r="D42" s="16"/>
      <c r="E42" s="16"/>
      <c r="F42" s="16"/>
      <c r="G42" s="16"/>
      <c r="H42" s="16"/>
      <c r="I42" s="16"/>
    </row>
    <row r="43" spans="1:9" ht="15">
      <c r="A43" s="5"/>
      <c r="B43" s="5" t="s">
        <v>119</v>
      </c>
      <c r="C43" s="5" t="s">
        <v>120</v>
      </c>
      <c r="D43" s="5" t="s">
        <v>121</v>
      </c>
      <c r="E43" s="5" t="s">
        <v>122</v>
      </c>
      <c r="F43" s="5" t="s">
        <v>111</v>
      </c>
      <c r="G43" s="5" t="s">
        <v>112</v>
      </c>
      <c r="H43" s="5" t="s">
        <v>113</v>
      </c>
      <c r="I43" s="5" t="s">
        <v>114</v>
      </c>
    </row>
    <row r="44" spans="1:9" ht="15">
      <c r="A44" s="5" t="s">
        <v>119</v>
      </c>
      <c r="B44" s="9">
        <v>1</v>
      </c>
      <c r="C44" s="9">
        <f>IF(COUNT(Недикова!C44,Символокова!C44,Бредихин!C44)&lt;3,"",POWER(PRODUCT(Недикова!C44,Символокова!C44,Бредихин!C44),1/3))</f>
        <v>3.5568933044900626</v>
      </c>
      <c r="D44" s="9">
        <f>IF(COUNT(Недикова!D44,Символокова!D44,Бредихин!D44)&lt;3,"",POWER(PRODUCT(Недикова!D44,Символокова!D44,Бредихин!D44),1/3))</f>
        <v>0.48074985676913612</v>
      </c>
      <c r="E44" s="9">
        <f>IF(COUNT(Недикова!E44,Символокова!E44,Бредихин!E44)&lt;3,"",POWER(PRODUCT(Недикова!E44,Символокова!E44,Бредихин!E44),1/3))</f>
        <v>2.4662120743304703</v>
      </c>
      <c r="F44" s="9">
        <f>IF(COUNT(B44:E44)&lt;4,"",PRODUCT(B44:E44)^(1/4))</f>
        <v>1.4330294158970065</v>
      </c>
      <c r="G44" s="9">
        <f>IF(F48="","",F44/F48)</f>
        <v>0.29663955970999656</v>
      </c>
      <c r="H44" s="9">
        <f>IF(G44="","",B44*$G$44 + C44*$G$45 + D44*$G$46 + E44*$G$47)</f>
        <v>1.2389116299256457</v>
      </c>
      <c r="I44" s="9">
        <f>IFERROR(H44/G44,"")</f>
        <v>4.1764882308241074</v>
      </c>
    </row>
    <row r="45" spans="1:9" ht="15">
      <c r="A45" s="5" t="s">
        <v>120</v>
      </c>
      <c r="B45" s="9">
        <f>IF(C44="","",1/C44)</f>
        <v>0.28114422176724979</v>
      </c>
      <c r="C45" s="9">
        <v>1</v>
      </c>
      <c r="D45" s="9">
        <f>IF(COUNT(Недикова!D45,Символокова!D45,Бредихин!D45)&lt;3,"",POWER(PRODUCT(Недикова!D45,Символокова!D45,Бредихин!D45),1/3))</f>
        <v>0.21196796658966532</v>
      </c>
      <c r="E45" s="9">
        <f>IF(COUNT(Недикова!E45,Символокова!E45,Бредихин!E45)&lt;3,"",POWER(PRODUCT(Недикова!E45,Символокова!E45,Бредихин!E45),1/3))</f>
        <v>0.28114422176724979</v>
      </c>
      <c r="F45" s="9">
        <f>IF(COUNT(B45:E45)&lt;4,"",PRODUCT(B45:E45)^(1/4))</f>
        <v>0.35977595896393066</v>
      </c>
      <c r="G45" s="9">
        <f>IF(F48="","",F45/F48)</f>
        <v>7.4474243778518884E-2</v>
      </c>
      <c r="H45" s="9">
        <f>IF(G45="","",B45*$G$44 + C45*$G$45 + D45*$G$46 + E45*$G$47)</f>
        <v>0.30424332023959827</v>
      </c>
      <c r="I45" s="9">
        <f>IFERROR(H45/G45,"")</f>
        <v>4.0852153013382226</v>
      </c>
    </row>
    <row r="46" spans="1:9" ht="15">
      <c r="A46" s="5" t="s">
        <v>121</v>
      </c>
      <c r="B46" s="9">
        <f>IF(D44="","",1/D44)</f>
        <v>2.0800838230519041</v>
      </c>
      <c r="C46" s="9">
        <f>IF(D45="","",1/D45)</f>
        <v>4.7176939803165325</v>
      </c>
      <c r="D46" s="9">
        <v>1</v>
      </c>
      <c r="E46" s="9">
        <f>IF(COUNT(Недикова!E46,Символокова!E46,Бредихин!E46)&lt;3,"",POWER(PRODUCT(Недикова!E46,Символокова!E46,Бредихин!E46),1/3))</f>
        <v>2.0800838230519041</v>
      </c>
      <c r="F46" s="9">
        <f>IF(COUNT(B46:E46)&lt;4,"",PRODUCT(B46:E46)^(1/4))</f>
        <v>2.125557509551097</v>
      </c>
      <c r="G46" s="9">
        <f>IF(F48="","",F46/F48)</f>
        <v>0.43999406905184618</v>
      </c>
      <c r="H46" s="9">
        <f>IF(G46="","",B46*$G$44 + C46*$G$45 + D46*$G$46 + E46*$G$47)</f>
        <v>1.8012873686750459</v>
      </c>
      <c r="I46" s="9">
        <f>IFERROR(H46/G46,"")</f>
        <v>4.0938901121023825</v>
      </c>
    </row>
    <row r="47" spans="1:9" ht="15">
      <c r="A47" s="5" t="s">
        <v>122</v>
      </c>
      <c r="B47" s="9">
        <f>IF(E44="","",1/E44)</f>
        <v>0.40548013303822666</v>
      </c>
      <c r="C47" s="9">
        <f>IF(E45="","",1/E45)</f>
        <v>3.5568933044900621</v>
      </c>
      <c r="D47" s="9">
        <f>IF(E46="","",1/E46)</f>
        <v>0.48074985676913612</v>
      </c>
      <c r="E47" s="9">
        <v>1</v>
      </c>
      <c r="F47" s="9">
        <f>IF(COUNT(B47:E47)&lt;4,"",PRODUCT(B47:E47)^(1/4))</f>
        <v>0.91251475476049382</v>
      </c>
      <c r="G47" s="9">
        <f>IF(F48="","",F47/F48)</f>
        <v>0.18889212745963832</v>
      </c>
      <c r="H47" s="9">
        <f>IF(G47="","",B47*$G$44 + C47*$G$45 + D47*$G$46 + E47*$G$47)</f>
        <v>0.78559760032396764</v>
      </c>
      <c r="I47" s="9">
        <f>IFERROR(H47/G47,"")</f>
        <v>4.1589748121812589</v>
      </c>
    </row>
    <row r="48" spans="1:9" ht="15">
      <c r="B48" s="20"/>
      <c r="C48" s="20"/>
      <c r="D48" s="20"/>
      <c r="E48" s="20"/>
      <c r="F48" s="9">
        <f>IF(COUNT(F44:F47)&lt;4,"",SUM(F44:F47))</f>
        <v>4.8308776391725283</v>
      </c>
      <c r="G48" s="9">
        <f>IF(COUNT(G44:G47)&lt;4,"",SUM(G44:G47))</f>
        <v>0.99999999999999989</v>
      </c>
      <c r="H48" s="21" t="s">
        <v>115</v>
      </c>
      <c r="I48" s="9">
        <f>IF(COUNT(I44:I47)&lt;4,"",AVERAGE(I44:I47))</f>
        <v>4.1286421141114928</v>
      </c>
    </row>
    <row r="49" spans="1:9" ht="15">
      <c r="B49" s="20"/>
      <c r="C49" s="20"/>
      <c r="D49" s="20"/>
      <c r="E49" s="20"/>
      <c r="F49" s="9"/>
      <c r="G49" s="9"/>
      <c r="H49" s="21" t="s">
        <v>116</v>
      </c>
      <c r="I49" s="9">
        <f>IF(I48="","",(I48-4)/(4-1))</f>
        <v>4.2880704703830951E-2</v>
      </c>
    </row>
    <row r="50" spans="1:9" ht="15">
      <c r="B50" s="20"/>
      <c r="C50" s="20"/>
      <c r="D50" s="20"/>
      <c r="E50" s="20"/>
      <c r="F50" s="9"/>
      <c r="G50" s="9"/>
      <c r="H50" s="21" t="s">
        <v>14</v>
      </c>
      <c r="I50" s="9">
        <f>VLOOKUP(4,Шкала_Саати!$D$4:$E$13,2,FALSE)</f>
        <v>0.9</v>
      </c>
    </row>
    <row r="51" spans="1:9" ht="15">
      <c r="B51" s="20"/>
      <c r="C51" s="20"/>
      <c r="D51" s="20"/>
      <c r="E51" s="20"/>
      <c r="F51" s="9"/>
      <c r="G51" s="9"/>
      <c r="H51" s="21" t="s">
        <v>117</v>
      </c>
      <c r="I51" s="9">
        <f>IF(COUNT(I49:I50)&lt;2,"",I49/I50)</f>
        <v>4.7645227448701054E-2</v>
      </c>
    </row>
    <row r="54" spans="1:9">
      <c r="A54" s="16" t="s">
        <v>136</v>
      </c>
      <c r="B54" s="16"/>
      <c r="C54" s="16"/>
      <c r="D54" s="16"/>
      <c r="E54" s="16"/>
      <c r="F54" s="16"/>
      <c r="G54" s="16"/>
      <c r="H54" s="16"/>
      <c r="I54" s="16"/>
    </row>
    <row r="55" spans="1:9" ht="15">
      <c r="A55" s="5"/>
      <c r="B55" s="5" t="s">
        <v>119</v>
      </c>
      <c r="C55" s="5" t="s">
        <v>120</v>
      </c>
      <c r="D55" s="5" t="s">
        <v>121</v>
      </c>
      <c r="E55" s="5" t="s">
        <v>122</v>
      </c>
      <c r="F55" s="5" t="s">
        <v>111</v>
      </c>
      <c r="G55" s="5" t="s">
        <v>112</v>
      </c>
      <c r="H55" s="5" t="s">
        <v>113</v>
      </c>
      <c r="I55" s="5" t="s">
        <v>114</v>
      </c>
    </row>
    <row r="56" spans="1:9" ht="15">
      <c r="A56" s="5" t="s">
        <v>119</v>
      </c>
      <c r="B56" s="9">
        <v>1</v>
      </c>
      <c r="C56" s="9">
        <f>IF(COUNT(Недикова!C56,Символокова!C56,Бредихин!C56)&lt;3,"",POWER(PRODUCT(Недикова!C56,Символокова!C56,Бредихин!C56),1/3))</f>
        <v>0.61979809424109344</v>
      </c>
      <c r="D56" s="9">
        <f>IF(COUNT(Недикова!D56,Символокова!D56,Бредихин!D56)&lt;3,"",POWER(PRODUCT(Недикова!D56,Символокова!D56,Бредихин!D56),1/3))</f>
        <v>1.7544106429277195</v>
      </c>
      <c r="E56" s="9">
        <f>IF(COUNT(Недикова!E56,Символокова!E56,Бредихин!E56)&lt;3,"",POWER(PRODUCT(Недикова!E56,Символокова!E56,Бредихин!E56),1/3))</f>
        <v>1</v>
      </c>
      <c r="F56" s="9">
        <f>IF(COUNT(B56:E56)&lt;4,"",PRODUCT(B56:E56)^(1/4))</f>
        <v>1.0211637098909785</v>
      </c>
      <c r="G56" s="9">
        <f>IF(F60="","",F56/F60)</f>
        <v>0.23409108569603379</v>
      </c>
      <c r="H56" s="9">
        <f>IF(G56="","",B56*$G$56 + C56*$G$57 + D56*$G$58 + E56*$G$59)</f>
        <v>0.94413527620400894</v>
      </c>
      <c r="I56" s="9">
        <f>IFERROR(H56/G56,"")</f>
        <v>4.033196195390218</v>
      </c>
    </row>
    <row r="57" spans="1:9" ht="15">
      <c r="A57" s="5" t="s">
        <v>120</v>
      </c>
      <c r="B57" s="9">
        <f>IF(C56="","",1/C56)</f>
        <v>1.6134286460245437</v>
      </c>
      <c r="C57" s="9">
        <v>1</v>
      </c>
      <c r="D57" s="9">
        <f>IF(COUNT(Недикова!D57,Символокова!D57,Бредихин!D57)&lt;3,"",POWER(PRODUCT(Недикова!D57,Символокова!D57,Бредихин!D57),1/3))</f>
        <v>3.5568933044900626</v>
      </c>
      <c r="E57" s="9">
        <f>IF(COUNT(Недикова!E57,Символокова!E57,Бредихин!E57)&lt;3,"",POWER(PRODUCT(Недикова!E57,Символокова!E57,Бредихин!E57),1/3))</f>
        <v>1.1856311014966876</v>
      </c>
      <c r="F57" s="9">
        <f>IF(COUNT(B57:E57)&lt;4,"",PRODUCT(B57:E57)^(1/4))</f>
        <v>1.6150744476616494</v>
      </c>
      <c r="G57" s="9">
        <f>IF(F60="","",F57/F60)</f>
        <v>0.37023890221618</v>
      </c>
      <c r="H57" s="9">
        <f>IF(G57="","",B57*$G$56 + C57*$G$57 + D57*$G$58 + E57*$G$59)</f>
        <v>1.483906921832431</v>
      </c>
      <c r="I57" s="9">
        <f>IFERROR(H57/G57,"")</f>
        <v>4.0079713745639509</v>
      </c>
    </row>
    <row r="58" spans="1:9" ht="15">
      <c r="A58" s="5" t="s">
        <v>121</v>
      </c>
      <c r="B58" s="9">
        <f>IF(D56="","",1/D56)</f>
        <v>0.56999198222556569</v>
      </c>
      <c r="C58" s="9">
        <f>IF(D57="","",1/D57)</f>
        <v>0.28114422176724979</v>
      </c>
      <c r="D58" s="9">
        <v>1</v>
      </c>
      <c r="E58" s="9">
        <f>IF(COUNT(Недикова!E58,Символокова!E58,Бредихин!E58)&lt;3,"",POWER(PRODUCT(Недикова!E58,Символокова!E58,Бредихин!E58),1/3))</f>
        <v>0.36246012433429736</v>
      </c>
      <c r="F58" s="9">
        <f>IF(COUNT(B58:E58)&lt;4,"",PRODUCT(B58:E58)^(1/4))</f>
        <v>0.49092430726792763</v>
      </c>
      <c r="G58" s="9">
        <f>IF(F60="","",F58/F60)</f>
        <v>0.11253925591929982</v>
      </c>
      <c r="H58" s="9">
        <f>IF(G58="","",B58*$G$56 + C58*$G$57 + D58*$G$58 + E58*$G$59)</f>
        <v>0.45268343499173891</v>
      </c>
      <c r="I58" s="9">
        <f>IFERROR(H58/G58,"")</f>
        <v>4.0224491560202891</v>
      </c>
    </row>
    <row r="59" spans="1:9" ht="15">
      <c r="A59" s="5" t="s">
        <v>122</v>
      </c>
      <c r="B59" s="9">
        <f>IF(E56="","",1/E56)</f>
        <v>1</v>
      </c>
      <c r="C59" s="9">
        <f>IF(E57="","",1/E57)</f>
        <v>0.84343266530174921</v>
      </c>
      <c r="D59" s="9">
        <f>IF(E58="","",1/E58)</f>
        <v>2.7589241763811208</v>
      </c>
      <c r="E59" s="9">
        <v>1</v>
      </c>
      <c r="F59" s="9">
        <f>IF(COUNT(B59:E59)&lt;4,"",PRODUCT(B59:E59)^(1/4))</f>
        <v>1.2350869854509297</v>
      </c>
      <c r="G59" s="9">
        <f>IF(F60="","",F59/F60)</f>
        <v>0.28313075616848637</v>
      </c>
      <c r="H59" s="9">
        <f>IF(G59="","",B59*$G$56 + C59*$G$57 + D59*$G$58 + E59*$G$59)</f>
        <v>1.139980699906805</v>
      </c>
      <c r="I59" s="9">
        <f>IFERROR(H59/G59,"")</f>
        <v>4.0263400392588276</v>
      </c>
    </row>
    <row r="60" spans="1:9" ht="15">
      <c r="B60" s="20"/>
      <c r="C60" s="20"/>
      <c r="D60" s="20"/>
      <c r="E60" s="20"/>
      <c r="F60" s="9">
        <f>IF(COUNT(F56:F59)&lt;4,"",SUM(F56:F59))</f>
        <v>4.3622494502714853</v>
      </c>
      <c r="G60" s="9">
        <f>IF(COUNT(G56:G59)&lt;4,"",SUM(G56:G59))</f>
        <v>1</v>
      </c>
      <c r="H60" s="21" t="s">
        <v>115</v>
      </c>
      <c r="I60" s="9">
        <f>IF(COUNT(I56:I59)&lt;4,"",AVERAGE(I56:I59))</f>
        <v>4.0224891913083214</v>
      </c>
    </row>
    <row r="61" spans="1:9" ht="15">
      <c r="B61" s="20"/>
      <c r="C61" s="20"/>
      <c r="D61" s="20"/>
      <c r="E61" s="20"/>
      <c r="F61" s="9"/>
      <c r="G61" s="9"/>
      <c r="H61" s="21" t="s">
        <v>116</v>
      </c>
      <c r="I61" s="9">
        <f>IF(I60="","",(I60-4)/(4-1))</f>
        <v>7.4963971027737957E-3</v>
      </c>
    </row>
    <row r="62" spans="1:9" ht="15">
      <c r="B62" s="20"/>
      <c r="C62" s="20"/>
      <c r="D62" s="20"/>
      <c r="E62" s="20"/>
      <c r="F62" s="9"/>
      <c r="G62" s="9"/>
      <c r="H62" s="21" t="s">
        <v>14</v>
      </c>
      <c r="I62" s="9">
        <f>VLOOKUP(4,Шкала_Саати!$D$4:$E$13,2,FALSE)</f>
        <v>0.9</v>
      </c>
    </row>
    <row r="63" spans="1:9" ht="15">
      <c r="B63" s="20"/>
      <c r="C63" s="20"/>
      <c r="D63" s="20"/>
      <c r="E63" s="20"/>
      <c r="F63" s="9"/>
      <c r="G63" s="9"/>
      <c r="H63" s="21" t="s">
        <v>117</v>
      </c>
      <c r="I63" s="9">
        <f>IF(COUNT(I61:I62)&lt;2,"",I61/I62)</f>
        <v>8.3293301141931057E-3</v>
      </c>
    </row>
    <row r="66" spans="1:9">
      <c r="A66" s="16" t="s">
        <v>137</v>
      </c>
      <c r="B66" s="16"/>
      <c r="C66" s="16"/>
      <c r="D66" s="16"/>
      <c r="E66" s="16"/>
      <c r="F66" s="16"/>
      <c r="G66" s="16"/>
      <c r="H66" s="16"/>
      <c r="I66" s="16"/>
    </row>
    <row r="67" spans="1:9" ht="15">
      <c r="A67" s="5"/>
      <c r="B67" s="5" t="s">
        <v>119</v>
      </c>
      <c r="C67" s="5" t="s">
        <v>120</v>
      </c>
      <c r="D67" s="5" t="s">
        <v>121</v>
      </c>
      <c r="E67" s="5" t="s">
        <v>122</v>
      </c>
      <c r="F67" s="5" t="s">
        <v>111</v>
      </c>
      <c r="G67" s="5" t="s">
        <v>112</v>
      </c>
      <c r="H67" s="5" t="s">
        <v>113</v>
      </c>
      <c r="I67" s="5" t="s">
        <v>114</v>
      </c>
    </row>
    <row r="68" spans="1:9" ht="15">
      <c r="A68" s="5" t="s">
        <v>119</v>
      </c>
      <c r="B68" s="9">
        <v>1</v>
      </c>
      <c r="C68" s="9">
        <f>IF(COUNT(Недикова!C68,Символокова!C68,Бредихин!C68)&lt;3,"",POWER(PRODUCT(Недикова!C68,Символокова!C68,Бредихин!C68),1/3))</f>
        <v>0.23712622029933755</v>
      </c>
      <c r="D68" s="9">
        <f>IF(COUNT(Недикова!D68,Символокова!D68,Бредихин!D68)&lt;3,"",POWER(PRODUCT(Недикова!D68,Символокова!D68,Бредихин!D68),1/3))</f>
        <v>0.28114422176724979</v>
      </c>
      <c r="E68" s="9">
        <f>IF(COUNT(Недикова!E68,Символокова!E68,Бредихин!E68)&lt;3,"",POWER(PRODUCT(Недикова!E68,Символокова!E68,Бредихин!E68),1/3))</f>
        <v>1.4422495703074083</v>
      </c>
      <c r="F68" s="9">
        <f>IF(COUNT(B68:E68)&lt;4,"",PRODUCT(B68:E68)^(1/4))</f>
        <v>0.55684880217414501</v>
      </c>
      <c r="G68" s="9">
        <f>IF(F72="","",F68/F72)</f>
        <v>0.10422038857894959</v>
      </c>
      <c r="H68" s="9">
        <f>IF(G68="","",B68*$G$68 + C68*$G$69 + D68*$G$70 + E68*$G$71)</f>
        <v>0.41712976374746202</v>
      </c>
      <c r="I68" s="9">
        <f>IFERROR(H68/G68,"")</f>
        <v>4.0023815822896847</v>
      </c>
    </row>
    <row r="69" spans="1:9" ht="15">
      <c r="A69" s="5" t="s">
        <v>120</v>
      </c>
      <c r="B69" s="9">
        <f>IF(C68="","",1/C68)</f>
        <v>4.2171633265087456</v>
      </c>
      <c r="C69" s="9">
        <v>1</v>
      </c>
      <c r="D69" s="9">
        <f>IF(COUNT(Недикова!D69,Символокова!D69,Бредихин!D69)&lt;3,"",POWER(PRODUCT(Недикова!D69,Символокова!D69,Бредихин!D69),1/3))</f>
        <v>1.4422495703074083</v>
      </c>
      <c r="E69" s="9">
        <f>IF(COUNT(Недикова!E69,Символокова!E69,Бредихин!E69)&lt;3,"",POWER(PRODUCT(Недикова!E69,Символокова!E69,Бредихин!E69),1/3))</f>
        <v>6.2573247456759749</v>
      </c>
      <c r="F69" s="9">
        <f>IF(COUNT(B69:E69)&lt;4,"",PRODUCT(B69:E69)^(1/4))</f>
        <v>2.483775755408649</v>
      </c>
      <c r="G69" s="9">
        <f>IF(F72="","",F69/F72)</f>
        <v>0.46486599838408088</v>
      </c>
      <c r="H69" s="9">
        <f>IF(G69="","",B69*$G$68 + C69*$G$69 + D69*$G$70 + E69*$G$71)</f>
        <v>1.8639624013018472</v>
      </c>
      <c r="I69" s="9">
        <f>IFERROR(H69/G69,"")</f>
        <v>4.0096767838068619</v>
      </c>
    </row>
    <row r="70" spans="1:9" ht="15">
      <c r="A70" s="5" t="s">
        <v>121</v>
      </c>
      <c r="B70" s="9">
        <f>IF(D68="","",1/D68)</f>
        <v>3.5568933044900621</v>
      </c>
      <c r="C70" s="9">
        <f>IF(D69="","",1/D69)</f>
        <v>0.69336127435063477</v>
      </c>
      <c r="D70" s="9">
        <v>1</v>
      </c>
      <c r="E70" s="9">
        <f>IF(COUNT(Недикова!E70,Символокова!E70,Бредихин!E70)&lt;3,"",POWER(PRODUCT(Недикова!E70,Символокова!E70,Бредихин!E70),1/3))</f>
        <v>5.5934447104069847</v>
      </c>
      <c r="F70" s="9">
        <f>IF(COUNT(B70:E70)&lt;4,"",PRODUCT(B70:E70)^(1/4))</f>
        <v>1.9272029080190649</v>
      </c>
      <c r="G70" s="9">
        <f>IF(F72="","",F70/F72)</f>
        <v>0.36069725778347811</v>
      </c>
      <c r="H70" s="9">
        <f>IF(G70="","",B70*$G$68 + C70*$G$69 + D70*$G$70 + E70*$G$71)</f>
        <v>1.4464694420298623</v>
      </c>
      <c r="I70" s="9">
        <f>IFERROR(H70/G70,"")</f>
        <v>4.0102036009881701</v>
      </c>
    </row>
    <row r="71" spans="1:9" ht="15">
      <c r="A71" s="5" t="s">
        <v>122</v>
      </c>
      <c r="B71" s="9">
        <f>IF(E68="","",1/E68)</f>
        <v>0.69336127435063477</v>
      </c>
      <c r="C71" s="9">
        <f>IF(E69="","",1/E69)</f>
        <v>0.15981270601162809</v>
      </c>
      <c r="D71" s="9">
        <f>IF(E70="","",1/E70)</f>
        <v>0.17878070701931351</v>
      </c>
      <c r="E71" s="9">
        <v>1</v>
      </c>
      <c r="F71" s="9">
        <f>IF(COUNT(B71:E71)&lt;4,"",PRODUCT(B71:E71)^(1/4))</f>
        <v>0.37516549159977258</v>
      </c>
      <c r="G71" s="9">
        <f>IF(F72="","",F71/F72)</f>
        <v>7.0216355253491444E-2</v>
      </c>
      <c r="H71" s="9">
        <f>IF(G71="","",B71*$G$68 + C71*$G$69 + D71*$G$70 + E71*$G$71)</f>
        <v>0.28125594059292519</v>
      </c>
      <c r="I71" s="9">
        <f>IFERROR(H71/G71,"")</f>
        <v>4.0055616612048519</v>
      </c>
    </row>
    <row r="72" spans="1:9" ht="15">
      <c r="B72" s="20"/>
      <c r="C72" s="20"/>
      <c r="D72" s="20"/>
      <c r="E72" s="20"/>
      <c r="F72" s="9">
        <f>IF(COUNT(F68:F71)&lt;4,"",SUM(F68:F71))</f>
        <v>5.3429929572016315</v>
      </c>
      <c r="G72" s="9">
        <f>IF(COUNT(G68:G71)&lt;4,"",SUM(G68:G71))</f>
        <v>1</v>
      </c>
      <c r="H72" s="21" t="s">
        <v>115</v>
      </c>
      <c r="I72" s="9">
        <f>IF(COUNT(I68:I71)&lt;4,"",AVERAGE(I68:I71))</f>
        <v>4.0069559070723919</v>
      </c>
    </row>
    <row r="73" spans="1:9" ht="15">
      <c r="B73" s="20"/>
      <c r="C73" s="20"/>
      <c r="D73" s="20"/>
      <c r="E73" s="20"/>
      <c r="F73" s="9"/>
      <c r="G73" s="9"/>
      <c r="H73" s="21" t="s">
        <v>116</v>
      </c>
      <c r="I73" s="9">
        <f>IF(I72="","",(I72-4)/(4-1))</f>
        <v>2.3186356907973029E-3</v>
      </c>
    </row>
    <row r="74" spans="1:9" ht="15">
      <c r="B74" s="20"/>
      <c r="C74" s="20"/>
      <c r="D74" s="20"/>
      <c r="E74" s="20"/>
      <c r="F74" s="9"/>
      <c r="G74" s="9"/>
      <c r="H74" s="21" t="s">
        <v>14</v>
      </c>
      <c r="I74" s="9">
        <f>VLOOKUP(4,Шкала_Саати!$D$4:$E$13,2,FALSE)</f>
        <v>0.9</v>
      </c>
    </row>
    <row r="75" spans="1:9" ht="15">
      <c r="B75" s="20"/>
      <c r="C75" s="20"/>
      <c r="D75" s="20"/>
      <c r="E75" s="20"/>
      <c r="F75" s="9"/>
      <c r="G75" s="9"/>
      <c r="H75" s="21" t="s">
        <v>117</v>
      </c>
      <c r="I75" s="9">
        <f>IF(COUNT(I73:I74)&lt;2,"",I73/I74)</f>
        <v>2.5762618786636699E-3</v>
      </c>
    </row>
    <row r="78" spans="1:9">
      <c r="A78" s="16" t="s">
        <v>138</v>
      </c>
      <c r="B78" s="16"/>
      <c r="C78" s="16"/>
      <c r="D78" s="16"/>
      <c r="E78" s="16"/>
      <c r="F78" s="16"/>
      <c r="G78" s="16"/>
      <c r="H78" s="16"/>
      <c r="I78" s="16"/>
    </row>
    <row r="79" spans="1:9" ht="15">
      <c r="A79" s="5"/>
      <c r="B79" s="5" t="s">
        <v>119</v>
      </c>
      <c r="C79" s="5" t="s">
        <v>120</v>
      </c>
      <c r="D79" s="5" t="s">
        <v>121</v>
      </c>
      <c r="E79" s="5" t="s">
        <v>122</v>
      </c>
      <c r="F79" s="5" t="s">
        <v>111</v>
      </c>
      <c r="G79" s="5" t="s">
        <v>112</v>
      </c>
      <c r="H79" s="5" t="s">
        <v>113</v>
      </c>
      <c r="I79" s="5" t="s">
        <v>114</v>
      </c>
    </row>
    <row r="80" spans="1:9" ht="15">
      <c r="A80" s="5" t="s">
        <v>119</v>
      </c>
      <c r="B80" s="9">
        <v>1</v>
      </c>
      <c r="C80" s="9">
        <f>IF(COUNT(Недикова!C80,Символокова!C80,Бредихин!C80)&lt;3,"",POWER(PRODUCT(Недикова!C80,Символокова!C80,Бредихин!C80),1/3))</f>
        <v>0.21196796658966532</v>
      </c>
      <c r="D80" s="9">
        <f>IF(COUNT(Недикова!D80,Символокова!D80,Бредихин!D80)&lt;3,"",POWER(PRODUCT(Недикова!D80,Символокова!D80,Бредихин!D80),1/3))</f>
        <v>1.4422495703074083</v>
      </c>
      <c r="E80" s="9">
        <f>IF(COUNT(Недикова!E80,Символокова!E80,Бредихин!E80)&lt;3,"",POWER(PRODUCT(Недикова!E80,Символокова!E80,Бредихин!E80),1/3))</f>
        <v>3.9790572078963913</v>
      </c>
      <c r="F80" s="9">
        <f>IF(COUNT(B80:E80)&lt;4,"",PRODUCT(B80:E80)^(1/4))</f>
        <v>1.0502016801675471</v>
      </c>
      <c r="G80" s="9">
        <f>IF(F84="","",F80/F84)</f>
        <v>0.19359504352159207</v>
      </c>
      <c r="H80" s="9">
        <f>IF(G80="","",B80*$G$80 + C80*$G$81 + D80*$G$82 + E80*$G$83)</f>
        <v>0.80296065890790458</v>
      </c>
      <c r="I80" s="9">
        <f>IFERROR(H80/G80,"")</f>
        <v>4.1476302507628438</v>
      </c>
    </row>
    <row r="81" spans="1:9" ht="15">
      <c r="A81" s="5" t="s">
        <v>120</v>
      </c>
      <c r="B81" s="9">
        <f>IF(C80="","",1/C80)</f>
        <v>4.7176939803165325</v>
      </c>
      <c r="C81" s="9">
        <v>1</v>
      </c>
      <c r="D81" s="9">
        <f>IF(COUNT(Недикова!D81,Символокова!D81,Бредихин!D81)&lt;3,"",POWER(PRODUCT(Недикова!D81,Символокова!D81,Бредихин!D81),1/3))</f>
        <v>2.9999999999999996</v>
      </c>
      <c r="E81" s="9">
        <f>IF(COUNT(Недикова!E81,Символокова!E81,Бредихин!E81)&lt;3,"",POWER(PRODUCT(Недикова!E81,Символокова!E81,Бредихин!E81),1/3))</f>
        <v>6.8040921159533676</v>
      </c>
      <c r="F81" s="9">
        <f>IF(COUNT(B81:E81)&lt;4,"",PRODUCT(B81:E81)^(1/4))</f>
        <v>3.1326025810124345</v>
      </c>
      <c r="G81" s="9">
        <f>IF(F84="","",F81/F84)</f>
        <v>0.57746654234089689</v>
      </c>
      <c r="H81" s="9">
        <f>IF(G81="","",B81*$G$80 + C81*$G$81 + D81*$G$82 + E81*$G$83)</f>
        <v>2.4126970967069772</v>
      </c>
      <c r="I81" s="9">
        <f>IFERROR(H81/G81,"")</f>
        <v>4.1780725285425895</v>
      </c>
    </row>
    <row r="82" spans="1:9" ht="15">
      <c r="A82" s="5" t="s">
        <v>121</v>
      </c>
      <c r="B82" s="9">
        <f>IF(D80="","",1/D80)</f>
        <v>0.69336127435063477</v>
      </c>
      <c r="C82" s="9">
        <f>IF(D81="","",1/D81)</f>
        <v>0.33333333333333337</v>
      </c>
      <c r="D82" s="9">
        <v>1</v>
      </c>
      <c r="E82" s="9">
        <f>IF(COUNT(Недикова!E82,Символокова!E82,Бредихин!E82)&lt;3,"",POWER(PRODUCT(Недикова!E82,Символокова!E82,Бредихин!E82),1/3))</f>
        <v>2.9240177382128656</v>
      </c>
      <c r="F82" s="9">
        <f>IF(COUNT(B82:E82)&lt;4,"",PRODUCT(B82:E82)^(1/4))</f>
        <v>0.90668114099913322</v>
      </c>
      <c r="G82" s="9">
        <f>IF(F84="","",F82/F84)</f>
        <v>0.1671383490111446</v>
      </c>
      <c r="H82" s="9">
        <f>IF(G82="","",B82*$G$80 + C82*$G$81 + D82*$G$82 + E82*$G$83)</f>
        <v>0.67456298919441371</v>
      </c>
      <c r="I82" s="9">
        <f>IFERROR(H82/G82,"")</f>
        <v>4.0359558006010614</v>
      </c>
    </row>
    <row r="83" spans="1:9" ht="15">
      <c r="A83" s="5" t="s">
        <v>122</v>
      </c>
      <c r="B83" s="9">
        <f>IF(E80="","",1/E80)</f>
        <v>0.25131581370971795</v>
      </c>
      <c r="C83" s="9">
        <f>IF(E81="","",1/E81)</f>
        <v>0.14697037943612309</v>
      </c>
      <c r="D83" s="9">
        <f>IF(E82="","",1/E82)</f>
        <v>0.34199518933533946</v>
      </c>
      <c r="E83" s="9">
        <v>1</v>
      </c>
      <c r="F83" s="9">
        <f>IF(COUNT(B83:E83)&lt;4,"",PRODUCT(B83:E83)^(1/4))</f>
        <v>0.33524893535270267</v>
      </c>
      <c r="G83" s="9">
        <f>IF(F84="","",F83/F84)</f>
        <v>6.1800065126366446E-2</v>
      </c>
      <c r="H83" s="9">
        <f>IF(G83="","",B83*$G$80 + C83*$G$81 + D83*$G$82 + E83*$G$83)</f>
        <v>0.2524845491739337</v>
      </c>
      <c r="I83" s="9">
        <f>IFERROR(H83/G83,"")</f>
        <v>4.0855061990252404</v>
      </c>
    </row>
    <row r="84" spans="1:9" ht="15">
      <c r="B84" s="20"/>
      <c r="C84" s="20"/>
      <c r="D84" s="20"/>
      <c r="E84" s="20"/>
      <c r="F84" s="9">
        <f>IF(COUNT(F80:F83)&lt;4,"",SUM(F80:F83))</f>
        <v>5.4247343375318176</v>
      </c>
      <c r="G84" s="9">
        <f>IF(COUNT(G80:G83)&lt;4,"",SUM(G80:G83))</f>
        <v>1</v>
      </c>
      <c r="H84" s="21" t="s">
        <v>115</v>
      </c>
      <c r="I84" s="9">
        <f>IF(COUNT(I80:I83)&lt;4,"",AVERAGE(I80:I83))</f>
        <v>4.111791194732934</v>
      </c>
    </row>
    <row r="85" spans="1:9" ht="15">
      <c r="B85" s="20"/>
      <c r="C85" s="20"/>
      <c r="D85" s="20"/>
      <c r="E85" s="20"/>
      <c r="F85" s="9"/>
      <c r="G85" s="9"/>
      <c r="H85" s="21" t="s">
        <v>116</v>
      </c>
      <c r="I85" s="9">
        <f>IF(I84="","",(I84-4)/(4-1))</f>
        <v>3.7263731577644656E-2</v>
      </c>
    </row>
    <row r="86" spans="1:9" ht="15">
      <c r="B86" s="20"/>
      <c r="C86" s="20"/>
      <c r="D86" s="20"/>
      <c r="E86" s="20"/>
      <c r="F86" s="9"/>
      <c r="G86" s="9"/>
      <c r="H86" s="21" t="s">
        <v>14</v>
      </c>
      <c r="I86" s="9">
        <f>VLOOKUP(4,Шкала_Саати!$D$4:$E$13,2,FALSE)</f>
        <v>0.9</v>
      </c>
    </row>
    <row r="87" spans="1:9" ht="15">
      <c r="B87" s="20"/>
      <c r="C87" s="20"/>
      <c r="D87" s="20"/>
      <c r="E87" s="20"/>
      <c r="F87" s="9"/>
      <c r="G87" s="9"/>
      <c r="H87" s="21" t="s">
        <v>117</v>
      </c>
      <c r="I87" s="9">
        <f>IF(COUNT(I85:I86)&lt;2,"",I85/I86)</f>
        <v>4.1404146197382953E-2</v>
      </c>
    </row>
    <row r="90" spans="1:9">
      <c r="A90" s="16" t="s">
        <v>139</v>
      </c>
      <c r="B90" s="16"/>
      <c r="C90" s="16"/>
      <c r="D90" s="16"/>
      <c r="E90" s="16"/>
      <c r="F90" s="16"/>
      <c r="G90" s="16"/>
      <c r="H90" s="16"/>
      <c r="I90" s="16"/>
    </row>
    <row r="91" spans="1:9" ht="30">
      <c r="A91" s="5" t="s">
        <v>140</v>
      </c>
      <c r="B91" s="5" t="s">
        <v>105</v>
      </c>
      <c r="C91" s="5" t="s">
        <v>106</v>
      </c>
      <c r="D91" s="5" t="s">
        <v>107</v>
      </c>
      <c r="E91" s="5" t="s">
        <v>108</v>
      </c>
      <c r="F91" s="5" t="s">
        <v>109</v>
      </c>
      <c r="G91" s="5" t="s">
        <v>110</v>
      </c>
      <c r="H91" s="5" t="s">
        <v>141</v>
      </c>
      <c r="I91" s="5" t="s">
        <v>142</v>
      </c>
    </row>
    <row r="92" spans="1:9" ht="30">
      <c r="A92" s="4" t="s">
        <v>143</v>
      </c>
      <c r="B92" s="9">
        <f>IF(G20="","",G20)</f>
        <v>0.10107299769272647</v>
      </c>
      <c r="C92" s="9">
        <f>IF(G32="","",G32)</f>
        <v>0.18443494448000269</v>
      </c>
      <c r="D92" s="9">
        <f>IF(G44="","",G44)</f>
        <v>0.29663955970999656</v>
      </c>
      <c r="E92" s="9">
        <f>IF(G56="","",G56)</f>
        <v>0.23409108569603379</v>
      </c>
      <c r="F92" s="9">
        <f>IF(G68="","",G68)</f>
        <v>0.10422038857894959</v>
      </c>
      <c r="G92" s="9">
        <f>IF(G80="","",G80)</f>
        <v>0.19359504352159207</v>
      </c>
      <c r="H92" s="9">
        <f>IF(OR(COUNT(B92:G92)&lt;6,COUNT($I$6:$I$11)&lt;6),"",B92*$I$6 + C92*$I$7 + D92*$I$8 + E92*$I$9 + F92*$I$10 + G92*$I$11)</f>
        <v>0.17550953855888818</v>
      </c>
      <c r="I92" s="4">
        <f>IF(H92="","",RANK(H92,$H$92:$H$95,0))</f>
        <v>3</v>
      </c>
    </row>
    <row r="93" spans="1:9" ht="30">
      <c r="A93" s="4" t="s">
        <v>144</v>
      </c>
      <c r="B93" s="9">
        <f>IF(G21="","",G21)</f>
        <v>0.48741968871291363</v>
      </c>
      <c r="C93" s="9">
        <f>IF(G33="","",G33)</f>
        <v>0.50524382038515225</v>
      </c>
      <c r="D93" s="9">
        <f>IF(G45="","",G45)</f>
        <v>7.4474243778518884E-2</v>
      </c>
      <c r="E93" s="9">
        <f>IF(G57="","",G57)</f>
        <v>0.37023890221618</v>
      </c>
      <c r="F93" s="9">
        <f>IF(G69="","",G69)</f>
        <v>0.46486599838408088</v>
      </c>
      <c r="G93" s="9">
        <f>IF(G81="","",G81)</f>
        <v>0.57746654234089689</v>
      </c>
      <c r="H93" s="9">
        <f>IF(OR(COUNT(B93:G93)&lt;6,COUNT($I$6:$I$11)&lt;6),"",B93*$I$6 + C93*$I$7 + D93*$I$8 + E93*$I$9 + F93*$I$10 + G93*$I$11)</f>
        <v>0.44093762051790941</v>
      </c>
      <c r="I93" s="4">
        <f>IF(H93="","",RANK(H93,$H$92:$H$95,0))</f>
        <v>1</v>
      </c>
    </row>
    <row r="94" spans="1:9" ht="30">
      <c r="A94" s="4" t="s">
        <v>145</v>
      </c>
      <c r="B94" s="9">
        <f>IF(G22="","",G22)</f>
        <v>0.33308309407637093</v>
      </c>
      <c r="C94" s="9">
        <f>IF(G34="","",G34)</f>
        <v>0.17308540199694603</v>
      </c>
      <c r="D94" s="9">
        <f>IF(G46="","",G46)</f>
        <v>0.43999406905184618</v>
      </c>
      <c r="E94" s="9">
        <f>IF(G58="","",G58)</f>
        <v>0.11253925591929982</v>
      </c>
      <c r="F94" s="9">
        <f>IF(G70="","",G70)</f>
        <v>0.36069725778347811</v>
      </c>
      <c r="G94" s="9">
        <f>IF(G82="","",G82)</f>
        <v>0.1671383490111446</v>
      </c>
      <c r="H94" s="9">
        <f>IF(OR(COUNT(B94:G94)&lt;6,COUNT($I$6:$I$11)&lt;6),"",B94*$I$6 + C94*$I$7 + D94*$I$8 + E94*$I$9 + F94*$I$10 + G94*$I$11)</f>
        <v>0.22638832435624107</v>
      </c>
      <c r="I94" s="4">
        <f>IF(H94="","",RANK(H94,$H$92:$H$95,0))</f>
        <v>2</v>
      </c>
    </row>
    <row r="95" spans="1:9" ht="30">
      <c r="A95" s="4" t="s">
        <v>146</v>
      </c>
      <c r="B95" s="9">
        <f>IF(G23="","",G23)</f>
        <v>7.8424219517988933E-2</v>
      </c>
      <c r="C95" s="9">
        <f>IF(G35="","",G35)</f>
        <v>0.13723583313789903</v>
      </c>
      <c r="D95" s="9">
        <f>IF(G47="","",G47)</f>
        <v>0.18889212745963832</v>
      </c>
      <c r="E95" s="9">
        <f>IF(G59="","",G59)</f>
        <v>0.28313075616848637</v>
      </c>
      <c r="F95" s="9">
        <f>IF(G71="","",G71)</f>
        <v>7.0216355253491444E-2</v>
      </c>
      <c r="G95" s="9">
        <f>IF(G83="","",G83)</f>
        <v>6.1800065126366446E-2</v>
      </c>
      <c r="H95" s="9">
        <f>IF(OR(COUNT(B95:G95)&lt;6,COUNT($I$6:$I$11)&lt;6),"",B95*$I$6 + C95*$I$7 + D95*$I$8 + E95*$I$9 + F95*$I$10 + G95*$I$11)</f>
        <v>0.15716451656696134</v>
      </c>
      <c r="I95" s="4">
        <f>IF(H95="","",RANK(H95,$H$92:$H$95,0))</f>
        <v>4</v>
      </c>
    </row>
  </sheetData>
  <mergeCells count="10">
    <mergeCell ref="A1:K1"/>
    <mergeCell ref="A2:K2"/>
    <mergeCell ref="A4:K4"/>
    <mergeCell ref="A18:I18"/>
    <mergeCell ref="A30:I30"/>
    <mergeCell ref="A42:I42"/>
    <mergeCell ref="A54:I54"/>
    <mergeCell ref="A66:I66"/>
    <mergeCell ref="A78:I78"/>
    <mergeCell ref="A90:I90"/>
  </mergeCells>
  <conditionalFormatting sqref="I27">
    <cfRule type="cellIs" dxfId="15" priority="3" operator="greaterThan">
      <formula>0.1</formula>
    </cfRule>
    <cfRule type="cellIs" dxfId="14" priority="4" operator="lessThanOrEqual">
      <formula>0.1</formula>
    </cfRule>
  </conditionalFormatting>
  <conditionalFormatting sqref="I39">
    <cfRule type="cellIs" dxfId="13" priority="5" operator="greaterThan">
      <formula>0.1</formula>
    </cfRule>
    <cfRule type="cellIs" dxfId="12" priority="6" operator="lessThanOrEqual">
      <formula>0.1</formula>
    </cfRule>
  </conditionalFormatting>
  <conditionalFormatting sqref="I51">
    <cfRule type="cellIs" dxfId="11" priority="7" operator="greaterThan">
      <formula>0.1</formula>
    </cfRule>
    <cfRule type="cellIs" dxfId="10" priority="8" operator="lessThanOrEqual">
      <formula>0.1</formula>
    </cfRule>
  </conditionalFormatting>
  <conditionalFormatting sqref="I63">
    <cfRule type="cellIs" dxfId="9" priority="9" operator="greaterThan">
      <formula>0.1</formula>
    </cfRule>
    <cfRule type="cellIs" dxfId="8" priority="10" operator="lessThanOrEqual">
      <formula>0.1</formula>
    </cfRule>
  </conditionalFormatting>
  <conditionalFormatting sqref="I75">
    <cfRule type="cellIs" dxfId="7" priority="11" operator="greaterThan">
      <formula>0.1</formula>
    </cfRule>
    <cfRule type="cellIs" dxfId="6" priority="12" operator="lessThanOrEqual">
      <formula>0.1</formula>
    </cfRule>
  </conditionalFormatting>
  <conditionalFormatting sqref="I87">
    <cfRule type="cellIs" dxfId="5" priority="13" operator="greaterThan">
      <formula>0.1</formula>
    </cfRule>
    <cfRule type="cellIs" dxfId="4" priority="14" operator="lessThanOrEqual">
      <formula>0.1</formula>
    </cfRule>
  </conditionalFormatting>
  <conditionalFormatting sqref="K15">
    <cfRule type="cellIs" dxfId="3" priority="1" operator="greaterThan">
      <formula>0.1</formula>
    </cfRule>
    <cfRule type="cellIs" dxfId="2" priority="2" operator="lessThanOrEqual">
      <formula>0.1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9"/>
  <sheetViews>
    <sheetView workbookViewId="0">
      <pane ySplit="1" topLeftCell="A2" activePane="bottomLeft" state="frozen"/>
      <selection pane="bottomLeft" activeCell="L12" sqref="L12"/>
    </sheetView>
  </sheetViews>
  <sheetFormatPr baseColWidth="10" defaultColWidth="8.83203125" defaultRowHeight="14"/>
  <cols>
    <col min="1" max="1" width="14" style="8" customWidth="1"/>
    <col min="2" max="2" width="38" style="8" customWidth="1"/>
    <col min="3" max="3" width="18" style="8" customWidth="1"/>
    <col min="4" max="4" width="8.83203125" style="8"/>
    <col min="5" max="5" width="48" style="8" customWidth="1"/>
    <col min="6" max="8" width="18" style="8" customWidth="1"/>
    <col min="9" max="16384" width="8.83203125" style="8"/>
  </cols>
  <sheetData>
    <row r="1" spans="1:10" ht="18">
      <c r="A1" s="22" t="s">
        <v>147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30">
      <c r="A3" s="7" t="s">
        <v>148</v>
      </c>
      <c r="B3" s="7" t="s">
        <v>149</v>
      </c>
      <c r="C3" s="7" t="s">
        <v>150</v>
      </c>
      <c r="E3" s="7" t="s">
        <v>140</v>
      </c>
      <c r="F3" s="7" t="s">
        <v>141</v>
      </c>
      <c r="G3" s="7" t="s">
        <v>142</v>
      </c>
      <c r="H3" s="7" t="s">
        <v>151</v>
      </c>
    </row>
    <row r="4" spans="1:10" ht="30">
      <c r="A4" s="4" t="s">
        <v>105</v>
      </c>
      <c r="B4" s="4" t="s">
        <v>152</v>
      </c>
      <c r="C4" s="9">
        <f>IF(Коллективный_МАИ!I6="","",Коллективный_МАИ!I6)</f>
        <v>0.287803016951104</v>
      </c>
      <c r="E4" s="4" t="s">
        <v>143</v>
      </c>
      <c r="F4" s="9">
        <f>IF(Коллективный_МАИ!H92="","",Коллективный_МАИ!H92)</f>
        <v>0.17550953855888818</v>
      </c>
      <c r="G4" s="4">
        <f>IF(Коллективный_МАИ!I92="","",Коллективный_МАИ!I92)</f>
        <v>3</v>
      </c>
      <c r="H4" s="4" t="str">
        <f>IF(G4="","",IF(G4=1,"Лидер",""))</f>
        <v/>
      </c>
    </row>
    <row r="5" spans="1:10" ht="30">
      <c r="A5" s="4" t="s">
        <v>106</v>
      </c>
      <c r="B5" s="4" t="s">
        <v>153</v>
      </c>
      <c r="C5" s="9">
        <f>IF(Коллективный_МАИ!I7="","",Коллективный_МАИ!I7)</f>
        <v>0.15116478757329663</v>
      </c>
      <c r="E5" s="4" t="s">
        <v>144</v>
      </c>
      <c r="F5" s="9">
        <f>IF(Коллективный_МАИ!H93="","",Коллективный_МАИ!H93)</f>
        <v>0.44093762051790941</v>
      </c>
      <c r="G5" s="4">
        <f>IF(Коллективный_МАИ!I93="","",Коллективный_МАИ!I93)</f>
        <v>1</v>
      </c>
      <c r="H5" s="4" t="str">
        <f>IF(G5="","",IF(G5=1,"Лидер",""))</f>
        <v>Лидер</v>
      </c>
    </row>
    <row r="6" spans="1:10" ht="30">
      <c r="A6" s="4" t="s">
        <v>107</v>
      </c>
      <c r="B6" s="4" t="s">
        <v>154</v>
      </c>
      <c r="C6" s="9">
        <f>IF(Коллективный_МАИ!I8="","",Коллективный_МАИ!I8)</f>
        <v>4.2681205324802102E-2</v>
      </c>
      <c r="E6" s="4" t="s">
        <v>145</v>
      </c>
      <c r="F6" s="9">
        <f>IF(Коллективный_МАИ!H94="","",Коллективный_МАИ!H94)</f>
        <v>0.22638832435624107</v>
      </c>
      <c r="G6" s="4">
        <f>IF(Коллективный_МАИ!I94="","",Коллективный_МАИ!I94)</f>
        <v>2</v>
      </c>
      <c r="H6" s="4" t="str">
        <f>IF(G6="","",IF(G6=1,"Лидер",""))</f>
        <v/>
      </c>
    </row>
    <row r="7" spans="1:10" ht="30">
      <c r="A7" s="4" t="s">
        <v>108</v>
      </c>
      <c r="B7" s="4" t="s">
        <v>155</v>
      </c>
      <c r="C7" s="9">
        <f>IF(Коллективный_МАИ!I9="","",Коллективный_МАИ!I9)</f>
        <v>0.32989076942172624</v>
      </c>
      <c r="E7" s="4" t="s">
        <v>146</v>
      </c>
      <c r="F7" s="9">
        <f>IF(Коллективный_МАИ!H95="","",Коллективный_МАИ!H95)</f>
        <v>0.15716451656696134</v>
      </c>
      <c r="G7" s="4">
        <f>IF(Коллективный_МАИ!I95="","",Коллективный_МАИ!I95)</f>
        <v>4</v>
      </c>
      <c r="H7" s="4" t="str">
        <f>IF(G7="","",IF(G7=1,"Лидер",""))</f>
        <v/>
      </c>
    </row>
    <row r="8" spans="1:10" ht="15">
      <c r="A8" s="4" t="s">
        <v>109</v>
      </c>
      <c r="B8" s="4" t="s">
        <v>156</v>
      </c>
      <c r="C8" s="9">
        <f>IF(Коллективный_МАИ!I10="","",Коллективный_МАИ!I10)</f>
        <v>8.7609079804720047E-2</v>
      </c>
    </row>
    <row r="9" spans="1:10" ht="30">
      <c r="A9" s="4" t="s">
        <v>110</v>
      </c>
      <c r="B9" s="4" t="s">
        <v>157</v>
      </c>
      <c r="C9" s="9">
        <f>IF(Коллективный_МАИ!I11="","",Коллективный_МАИ!I11)</f>
        <v>0.100851140924351</v>
      </c>
    </row>
    <row r="12" spans="1:10" ht="30">
      <c r="A12" s="7" t="s">
        <v>158</v>
      </c>
      <c r="B12" s="7" t="s">
        <v>99</v>
      </c>
      <c r="C12" s="7" t="s">
        <v>100</v>
      </c>
      <c r="D12" s="7" t="s">
        <v>101</v>
      </c>
      <c r="E12" s="7" t="s">
        <v>159</v>
      </c>
      <c r="F12" s="7" t="s">
        <v>160</v>
      </c>
    </row>
    <row r="13" spans="1:10" ht="30">
      <c r="A13" s="4" t="s">
        <v>161</v>
      </c>
      <c r="B13" s="9">
        <f>IF(Недикова!K15="","",Недикова!K15)</f>
        <v>7.4508291449322098E-2</v>
      </c>
      <c r="C13" s="9">
        <f>IF(Символокова!K15="","",Символокова!K15)</f>
        <v>7.0400613463059772E-3</v>
      </c>
      <c r="D13" s="9">
        <f>IF(Бредихин!K15="","",Бредихин!K15)</f>
        <v>0.11365526607547044</v>
      </c>
      <c r="E13" s="9">
        <f>IF(Коллективный_МАИ!K15="","",Коллективный_МАИ!K15)</f>
        <v>2.4787163162106142E-2</v>
      </c>
      <c r="F13" s="4" t="str">
        <f t="shared" ref="F13:F19" si="0">IF(COUNT(B13:E13)&lt;4,"",IF(MAX(B13:E13)&lt;=0.1,"CR приемлем","Проверить сравнения"))</f>
        <v>Проверить сравнения</v>
      </c>
    </row>
    <row r="14" spans="1:10" ht="30">
      <c r="A14" s="4" t="s">
        <v>105</v>
      </c>
      <c r="B14" s="9">
        <f>IF(Недикова!I27="","",Недикова!I27)</f>
        <v>4.2474731047176459E-2</v>
      </c>
      <c r="C14" s="9">
        <f>IF(Символокова!I27="","",Символокова!I27)</f>
        <v>0</v>
      </c>
      <c r="D14" s="9">
        <f>IF(Бредихин!I27="","",Бредихин!I27)</f>
        <v>0.16393731068661685</v>
      </c>
      <c r="E14" s="9">
        <f>IF(Коллективный_МАИ!I27="","",Коллективный_МАИ!I27)</f>
        <v>3.4570183950319439E-2</v>
      </c>
      <c r="F14" s="4" t="str">
        <f t="shared" si="0"/>
        <v>Проверить сравнения</v>
      </c>
    </row>
    <row r="15" spans="1:10" ht="30">
      <c r="A15" s="4" t="s">
        <v>106</v>
      </c>
      <c r="B15" s="9">
        <f>IF(Недикова!I39="","",Недикова!I39)</f>
        <v>5.6762951034707854E-2</v>
      </c>
      <c r="C15" s="9">
        <f>IF(Символокова!I39="","",Символокова!I39)</f>
        <v>2.1071898604595012E-2</v>
      </c>
      <c r="D15" s="9">
        <f>IF(Бредихин!I39="","",Бредихин!I39)</f>
        <v>0.12404054794354781</v>
      </c>
      <c r="E15" s="9">
        <f>IF(Коллективный_МАИ!I39="","",Коллективный_МАИ!I39)</f>
        <v>1.0030906433859297E-2</v>
      </c>
      <c r="F15" s="4" t="str">
        <f t="shared" si="0"/>
        <v>Проверить сравнения</v>
      </c>
    </row>
    <row r="16" spans="1:10" ht="30">
      <c r="A16" s="4" t="s">
        <v>107</v>
      </c>
      <c r="B16" s="9">
        <f>IF(Недикова!I51="","",Недикова!I51)</f>
        <v>4.2474731047176459E-2</v>
      </c>
      <c r="C16" s="9">
        <f>IF(Символокова!I51="","",Символокова!I51)</f>
        <v>0</v>
      </c>
      <c r="D16" s="9">
        <f>IF(Бредихин!I51="","",Бредихин!I51)</f>
        <v>0.35076578317364504</v>
      </c>
      <c r="E16" s="9">
        <f>IF(Коллективный_МАИ!I51="","",Коллективный_МАИ!I51)</f>
        <v>4.7645227448701054E-2</v>
      </c>
      <c r="F16" s="4" t="str">
        <f t="shared" si="0"/>
        <v>Проверить сравнения</v>
      </c>
    </row>
    <row r="17" spans="1:6" ht="15">
      <c r="A17" s="4" t="s">
        <v>108</v>
      </c>
      <c r="B17" s="9">
        <f>IF(Недикова!I63="","",Недикова!I63)</f>
        <v>5.6762951034707521E-2</v>
      </c>
      <c r="C17" s="9">
        <f>IF(Символокова!I63="","",Символокова!I63)</f>
        <v>7.6621633736353764E-2</v>
      </c>
      <c r="D17" s="9">
        <f>IF(Бредихин!I63="","",Бредихин!I63)</f>
        <v>7.977963093673042E-2</v>
      </c>
      <c r="E17" s="9">
        <f>IF(Коллективный_МАИ!I63="","",Коллективный_МАИ!I63)</f>
        <v>8.3293301141931057E-3</v>
      </c>
      <c r="F17" s="4" t="str">
        <f t="shared" si="0"/>
        <v>CR приемлем</v>
      </c>
    </row>
    <row r="18" spans="1:6" ht="15">
      <c r="A18" s="4" t="s">
        <v>109</v>
      </c>
      <c r="B18" s="9">
        <f>IF(Недикова!I75="","",Недикова!I75)</f>
        <v>1.7392321864024264E-2</v>
      </c>
      <c r="C18" s="9">
        <f>IF(Символокова!I75="","",Символокова!I75)</f>
        <v>1.6067185706914802E-2</v>
      </c>
      <c r="D18" s="9">
        <f>IF(Бредихин!I75="","",Бредихин!I75)</f>
        <v>6.2111578862697366E-2</v>
      </c>
      <c r="E18" s="9">
        <f>IF(Коллективный_МАИ!I75="","",Коллективный_МАИ!I75)</f>
        <v>2.5762618786636699E-3</v>
      </c>
      <c r="F18" s="4" t="str">
        <f t="shared" si="0"/>
        <v>CR приемлем</v>
      </c>
    </row>
    <row r="19" spans="1:6" ht="30">
      <c r="A19" s="4" t="s">
        <v>110</v>
      </c>
      <c r="B19" s="9">
        <f>IF(Недикова!I87="","",Недикова!I87)</f>
        <v>0.15224281715730154</v>
      </c>
      <c r="C19" s="9">
        <f>IF(Символокова!I87="","",Символокова!I87)</f>
        <v>1.6067185706914802E-2</v>
      </c>
      <c r="D19" s="9">
        <f>IF(Бредихин!I87="","",Бредихин!I87)</f>
        <v>0.10254211459760214</v>
      </c>
      <c r="E19" s="9">
        <f>IF(Коллективный_МАИ!I87="","",Коллективный_МАИ!I87)</f>
        <v>4.1404146197382953E-2</v>
      </c>
      <c r="F19" s="4" t="str">
        <f t="shared" si="0"/>
        <v>Проверить сравнения</v>
      </c>
    </row>
  </sheetData>
  <mergeCells count="1">
    <mergeCell ref="A1:J1"/>
  </mergeCells>
  <conditionalFormatting sqref="F13:F19">
    <cfRule type="expression" dxfId="1" priority="1">
      <formula>$F13="Проверить сравнения"</formula>
    </cfRule>
    <cfRule type="expression" dxfId="0" priority="2">
      <formula>$F13="CR приемлем"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tabSelected="1" zoomScale="125" workbookViewId="0">
      <selection activeCell="A14" activeCellId="1" sqref="A3:B3 A14:C14"/>
    </sheetView>
  </sheetViews>
  <sheetFormatPr baseColWidth="10" defaultColWidth="8.83203125" defaultRowHeight="14"/>
  <cols>
    <col min="1" max="1" width="26" style="8" customWidth="1"/>
    <col min="2" max="2" width="44" style="8" customWidth="1"/>
    <col min="3" max="3" width="70" style="8" customWidth="1"/>
    <col min="4" max="16384" width="8.83203125" style="8"/>
  </cols>
  <sheetData>
    <row r="1" spans="1:6" ht="18">
      <c r="A1" s="22" t="s">
        <v>162</v>
      </c>
      <c r="B1" s="22"/>
      <c r="C1" s="22"/>
      <c r="D1" s="22"/>
      <c r="E1" s="22"/>
      <c r="F1" s="22"/>
    </row>
    <row r="3" spans="1:6" ht="15">
      <c r="A3" s="7" t="s">
        <v>163</v>
      </c>
      <c r="B3" s="7" t="s">
        <v>164</v>
      </c>
      <c r="C3" s="4"/>
    </row>
    <row r="4" spans="1:6" ht="15">
      <c r="A4" s="4" t="s">
        <v>165</v>
      </c>
      <c r="B4" s="4" t="s">
        <v>166</v>
      </c>
      <c r="C4" s="4"/>
    </row>
    <row r="5" spans="1:6" ht="15">
      <c r="A5" s="4" t="s">
        <v>167</v>
      </c>
      <c r="B5" s="4" t="s">
        <v>168</v>
      </c>
      <c r="C5" s="4"/>
    </row>
    <row r="6" spans="1:6" ht="15">
      <c r="A6" s="4" t="s">
        <v>169</v>
      </c>
      <c r="B6" s="4" t="s">
        <v>170</v>
      </c>
      <c r="C6" s="4"/>
    </row>
    <row r="7" spans="1:6" ht="15">
      <c r="A7" s="4" t="s">
        <v>171</v>
      </c>
      <c r="B7" s="4" t="s">
        <v>172</v>
      </c>
      <c r="C7" s="4"/>
    </row>
    <row r="8" spans="1:6" ht="15">
      <c r="A8" s="4" t="s">
        <v>173</v>
      </c>
      <c r="B8" s="4" t="s">
        <v>174</v>
      </c>
      <c r="C8" s="4"/>
    </row>
    <row r="9" spans="1:6" ht="15">
      <c r="A9" s="4" t="s">
        <v>175</v>
      </c>
      <c r="B9" s="4" t="s">
        <v>176</v>
      </c>
      <c r="C9" s="4"/>
    </row>
    <row r="10" spans="1:6" ht="30">
      <c r="A10" s="4" t="s">
        <v>177</v>
      </c>
      <c r="B10" s="4" t="s">
        <v>178</v>
      </c>
      <c r="C10" s="4"/>
    </row>
    <row r="11" spans="1:6" ht="15">
      <c r="A11" s="4" t="s">
        <v>179</v>
      </c>
      <c r="B11" s="4" t="s">
        <v>180</v>
      </c>
      <c r="C11" s="4"/>
    </row>
    <row r="12" spans="1:6" ht="15">
      <c r="A12" s="4" t="s">
        <v>181</v>
      </c>
      <c r="B12" s="4" t="s">
        <v>182</v>
      </c>
      <c r="C12" s="4"/>
    </row>
    <row r="14" spans="1:6" ht="15">
      <c r="A14" s="7" t="s">
        <v>183</v>
      </c>
      <c r="B14" s="7" t="s">
        <v>184</v>
      </c>
      <c r="C14" s="7" t="s">
        <v>185</v>
      </c>
    </row>
    <row r="15" spans="1:6" ht="30">
      <c r="A15" s="4" t="s">
        <v>186</v>
      </c>
      <c r="B15" s="4" t="s">
        <v>187</v>
      </c>
      <c r="C15" s="4" t="s">
        <v>188</v>
      </c>
    </row>
    <row r="16" spans="1:6" ht="15">
      <c r="A16" s="4" t="s">
        <v>189</v>
      </c>
      <c r="B16" s="4" t="s">
        <v>190</v>
      </c>
      <c r="C16" s="4" t="s">
        <v>191</v>
      </c>
    </row>
    <row r="17" spans="1:3" ht="15">
      <c r="A17" s="4" t="s">
        <v>192</v>
      </c>
      <c r="B17" s="4" t="s">
        <v>193</v>
      </c>
      <c r="C17" s="4" t="s">
        <v>198</v>
      </c>
    </row>
    <row r="18" spans="1:3" ht="45">
      <c r="A18" s="4" t="s">
        <v>194</v>
      </c>
      <c r="B18" s="4" t="s">
        <v>195</v>
      </c>
      <c r="C18" s="4" t="s">
        <v>196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Титульник</vt:lpstr>
      <vt:lpstr>Шкала_Саати</vt:lpstr>
      <vt:lpstr>Ответы_Forms</vt:lpstr>
      <vt:lpstr>Числовые_ответы</vt:lpstr>
      <vt:lpstr>Недикова</vt:lpstr>
      <vt:lpstr>Символокова</vt:lpstr>
      <vt:lpstr>Бредихин</vt:lpstr>
      <vt:lpstr>Коллективный_МАИ</vt:lpstr>
      <vt:lpstr>Итоги</vt:lpstr>
      <vt:lpstr>Формулы_и_методика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Nedikova</cp:lastModifiedBy>
  <dcterms:created xsi:type="dcterms:W3CDTF">2026-10-10T19:32:04Z</dcterms:created>
  <dcterms:modified xsi:type="dcterms:W3CDTF">2026-10-10T20:50:24Z</dcterms:modified>
</cp:coreProperties>
</file>