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вуз\магистратура\проектный менеджмент\"/>
    </mc:Choice>
  </mc:AlternateContent>
  <bookViews>
    <workbookView xWindow="0" yWindow="0" windowWidth="23040" windowHeight="7848" activeTab="2"/>
  </bookViews>
  <sheets>
    <sheet name="Итоги" sheetId="1" r:id="rId1"/>
    <sheet name="Расчёт" sheetId="2" r:id="rId2"/>
    <sheet name="Ответы" sheetId="3" r:id="rId3"/>
  </sheets>
  <calcPr calcId="162913"/>
</workbook>
</file>

<file path=xl/calcChain.xml><?xml version="1.0" encoding="utf-8"?>
<calcChain xmlns="http://schemas.openxmlformats.org/spreadsheetml/2006/main">
  <c r="I37" i="2" l="1"/>
  <c r="F37" i="2"/>
  <c r="E37" i="2"/>
  <c r="D37" i="2"/>
  <c r="C37" i="2"/>
  <c r="H37" i="2" s="1"/>
  <c r="F36" i="2"/>
  <c r="E36" i="2"/>
  <c r="D36" i="2"/>
  <c r="C36" i="2"/>
  <c r="I35" i="2"/>
  <c r="F35" i="2"/>
  <c r="E35" i="2"/>
  <c r="D35" i="2"/>
  <c r="C35" i="2"/>
  <c r="F34" i="2"/>
  <c r="E34" i="2"/>
  <c r="D34" i="2"/>
  <c r="C34" i="2"/>
  <c r="I33" i="2"/>
  <c r="F33" i="2"/>
  <c r="E33" i="2"/>
  <c r="D33" i="2"/>
  <c r="C33" i="2"/>
  <c r="F32" i="2"/>
  <c r="E32" i="2"/>
  <c r="D32" i="2"/>
  <c r="C32" i="2"/>
  <c r="I31" i="2"/>
  <c r="F31" i="2"/>
  <c r="E31" i="2"/>
  <c r="D31" i="2"/>
  <c r="C31" i="2"/>
  <c r="H31" i="2" s="1"/>
  <c r="K31" i="2" s="1"/>
  <c r="F30" i="2"/>
  <c r="E30" i="2"/>
  <c r="D30" i="2"/>
  <c r="C30" i="2"/>
  <c r="I29" i="2"/>
  <c r="L29" i="2" s="1"/>
  <c r="F29" i="2"/>
  <c r="E29" i="2"/>
  <c r="D29" i="2"/>
  <c r="C29" i="2"/>
  <c r="H29" i="2" s="1"/>
  <c r="K29" i="2" s="1"/>
  <c r="F28" i="2"/>
  <c r="E28" i="2"/>
  <c r="D28" i="2"/>
  <c r="C28" i="2"/>
  <c r="I27" i="2"/>
  <c r="F27" i="2"/>
  <c r="E27" i="2"/>
  <c r="D27" i="2"/>
  <c r="C27" i="2"/>
  <c r="F26" i="2"/>
  <c r="E26" i="2"/>
  <c r="D26" i="2"/>
  <c r="C26" i="2"/>
  <c r="I25" i="2"/>
  <c r="F25" i="2"/>
  <c r="E25" i="2"/>
  <c r="D25" i="2"/>
  <c r="C25" i="2"/>
  <c r="F24" i="2"/>
  <c r="E24" i="2"/>
  <c r="D24" i="2"/>
  <c r="C24" i="2"/>
  <c r="I23" i="2"/>
  <c r="L23" i="2" s="1"/>
  <c r="F23" i="2"/>
  <c r="E23" i="2"/>
  <c r="D23" i="2"/>
  <c r="C23" i="2"/>
  <c r="H23" i="2" s="1"/>
  <c r="K23" i="2" s="1"/>
  <c r="F22" i="2"/>
  <c r="E22" i="2"/>
  <c r="D22" i="2"/>
  <c r="C22" i="2"/>
  <c r="I21" i="2"/>
  <c r="F21" i="2"/>
  <c r="E21" i="2"/>
  <c r="D21" i="2"/>
  <c r="C21" i="2"/>
  <c r="H21" i="2" s="1"/>
  <c r="K21" i="2" s="1"/>
  <c r="F20" i="2"/>
  <c r="E20" i="2"/>
  <c r="D20" i="2"/>
  <c r="C20" i="2"/>
  <c r="G20" i="2" s="1"/>
  <c r="J20" i="2" s="1"/>
  <c r="I19" i="2"/>
  <c r="F19" i="2"/>
  <c r="E19" i="2"/>
  <c r="D19" i="2"/>
  <c r="C19" i="2"/>
  <c r="G19" i="2" s="1"/>
  <c r="F18" i="2"/>
  <c r="E18" i="2"/>
  <c r="D18" i="2"/>
  <c r="C18" i="2"/>
  <c r="I17" i="2"/>
  <c r="F17" i="2"/>
  <c r="E17" i="2"/>
  <c r="H17" i="2" s="1"/>
  <c r="K17" i="2" s="1"/>
  <c r="D17" i="2"/>
  <c r="C17" i="2"/>
  <c r="G17" i="2" s="1"/>
  <c r="F16" i="2"/>
  <c r="E16" i="2"/>
  <c r="D16" i="2"/>
  <c r="C16" i="2"/>
  <c r="I15" i="2"/>
  <c r="F15" i="2"/>
  <c r="E15" i="2"/>
  <c r="H15" i="2" s="1"/>
  <c r="D15" i="2"/>
  <c r="C15" i="2"/>
  <c r="G15" i="2" s="1"/>
  <c r="F14" i="2"/>
  <c r="E14" i="2"/>
  <c r="D14" i="2"/>
  <c r="C14" i="2"/>
  <c r="I10" i="2"/>
  <c r="H19" i="2" s="1"/>
  <c r="K19" i="2" s="1"/>
  <c r="H10" i="2"/>
  <c r="E10" i="2"/>
  <c r="D10" i="2"/>
  <c r="G10" i="2" s="1"/>
  <c r="C10" i="2"/>
  <c r="F10" i="2" s="1"/>
  <c r="I9" i="2"/>
  <c r="F9" i="2"/>
  <c r="E9" i="2"/>
  <c r="H9" i="2" s="1"/>
  <c r="D9" i="2"/>
  <c r="G9" i="2" s="1"/>
  <c r="C9" i="2"/>
  <c r="I8" i="2"/>
  <c r="G8" i="2"/>
  <c r="F8" i="2"/>
  <c r="E8" i="2"/>
  <c r="H8" i="2" s="1"/>
  <c r="D8" i="2"/>
  <c r="C8" i="2"/>
  <c r="I7" i="2"/>
  <c r="H7" i="2"/>
  <c r="G7" i="2"/>
  <c r="E7" i="2"/>
  <c r="D7" i="2"/>
  <c r="C7" i="2"/>
  <c r="F7" i="2" s="1"/>
  <c r="I6" i="2"/>
  <c r="H6" i="2"/>
  <c r="E6" i="2"/>
  <c r="D6" i="2"/>
  <c r="G6" i="2" s="1"/>
  <c r="C6" i="2"/>
  <c r="F6" i="2" s="1"/>
  <c r="I5" i="2"/>
  <c r="F5" i="2"/>
  <c r="E5" i="2"/>
  <c r="H5" i="2" s="1"/>
  <c r="D5" i="2"/>
  <c r="G5" i="2" s="1"/>
  <c r="C5" i="2"/>
  <c r="C8" i="1"/>
  <c r="B8" i="1"/>
  <c r="C7" i="1"/>
  <c r="B7" i="1"/>
  <c r="C6" i="1"/>
  <c r="B6" i="1"/>
  <c r="C5" i="1"/>
  <c r="B5" i="1"/>
  <c r="I18" i="2" l="1"/>
  <c r="L18" i="2" s="1"/>
  <c r="H18" i="2"/>
  <c r="K18" i="2" s="1"/>
  <c r="L21" i="2"/>
  <c r="I28" i="2"/>
  <c r="L28" i="2" s="1"/>
  <c r="H28" i="2"/>
  <c r="K28" i="2" s="1"/>
  <c r="G28" i="2"/>
  <c r="J28" i="2" s="1"/>
  <c r="L31" i="2"/>
  <c r="I36" i="2"/>
  <c r="L36" i="2" s="1"/>
  <c r="H36" i="2"/>
  <c r="K36" i="2" s="1"/>
  <c r="G36" i="2"/>
  <c r="J36" i="2" s="1"/>
  <c r="I26" i="2"/>
  <c r="L26" i="2" s="1"/>
  <c r="H26" i="2"/>
  <c r="K26" i="2" s="1"/>
  <c r="G26" i="2"/>
  <c r="J26" i="2" s="1"/>
  <c r="I34" i="2"/>
  <c r="L34" i="2" s="1"/>
  <c r="H34" i="2"/>
  <c r="K34" i="2" s="1"/>
  <c r="L15" i="2"/>
  <c r="I14" i="2"/>
  <c r="L14" i="2" s="1"/>
  <c r="H14" i="2"/>
  <c r="K14" i="2" s="1"/>
  <c r="G14" i="2"/>
  <c r="J14" i="2" s="1"/>
  <c r="J17" i="2"/>
  <c r="L17" i="2"/>
  <c r="I22" i="2"/>
  <c r="L22" i="2" s="1"/>
  <c r="H22" i="2"/>
  <c r="K22" i="2" s="1"/>
  <c r="G22" i="2"/>
  <c r="J22" i="2" s="1"/>
  <c r="H25" i="2"/>
  <c r="K25" i="2" s="1"/>
  <c r="L25" i="2"/>
  <c r="I30" i="2"/>
  <c r="L30" i="2" s="1"/>
  <c r="H30" i="2"/>
  <c r="K30" i="2" s="1"/>
  <c r="G30" i="2"/>
  <c r="J30" i="2" s="1"/>
  <c r="H33" i="2"/>
  <c r="K33" i="2" s="1"/>
  <c r="L33" i="2"/>
  <c r="G18" i="2"/>
  <c r="J18" i="2" s="1"/>
  <c r="G34" i="2"/>
  <c r="J34" i="2" s="1"/>
  <c r="J15" i="2"/>
  <c r="I20" i="2"/>
  <c r="L20" i="2" s="1"/>
  <c r="H20" i="2"/>
  <c r="K20" i="2" s="1"/>
  <c r="K15" i="2"/>
  <c r="I16" i="2"/>
  <c r="L16" i="2" s="1"/>
  <c r="J7" i="2" s="1"/>
  <c r="H16" i="2"/>
  <c r="K16" i="2" s="1"/>
  <c r="G16" i="2"/>
  <c r="J16" i="2" s="1"/>
  <c r="J19" i="2"/>
  <c r="L19" i="2"/>
  <c r="I24" i="2"/>
  <c r="L24" i="2" s="1"/>
  <c r="H24" i="2"/>
  <c r="K24" i="2" s="1"/>
  <c r="G24" i="2"/>
  <c r="J24" i="2" s="1"/>
  <c r="H27" i="2"/>
  <c r="K27" i="2" s="1"/>
  <c r="L27" i="2"/>
  <c r="I32" i="2"/>
  <c r="L32" i="2" s="1"/>
  <c r="H32" i="2"/>
  <c r="K32" i="2" s="1"/>
  <c r="G32" i="2"/>
  <c r="J32" i="2" s="1"/>
  <c r="H35" i="2"/>
  <c r="K35" i="2" s="1"/>
  <c r="L35" i="2"/>
  <c r="K37" i="2"/>
  <c r="L37" i="2"/>
  <c r="G21" i="2"/>
  <c r="J21" i="2" s="1"/>
  <c r="G23" i="2"/>
  <c r="J23" i="2" s="1"/>
  <c r="G25" i="2"/>
  <c r="J25" i="2" s="1"/>
  <c r="G27" i="2"/>
  <c r="J27" i="2" s="1"/>
  <c r="G29" i="2"/>
  <c r="J29" i="2" s="1"/>
  <c r="G31" i="2"/>
  <c r="J31" i="2" s="1"/>
  <c r="G33" i="2"/>
  <c r="J33" i="2" s="1"/>
  <c r="G35" i="2"/>
  <c r="J35" i="2" s="1"/>
  <c r="G37" i="2"/>
  <c r="J37" i="2" s="1"/>
  <c r="J10" i="2" l="1"/>
  <c r="K6" i="2"/>
  <c r="K10" i="2"/>
  <c r="J8" i="2"/>
  <c r="J5" i="2"/>
  <c r="J9" i="2"/>
  <c r="O16" i="2"/>
  <c r="K7" i="2"/>
  <c r="K9" i="2"/>
  <c r="O22" i="2"/>
  <c r="K8" i="2"/>
  <c r="J6" i="2"/>
  <c r="M34" i="2"/>
  <c r="O34" i="2" s="1"/>
  <c r="M28" i="2"/>
  <c r="O28" i="2" s="1"/>
  <c r="M22" i="2"/>
  <c r="M16" i="2"/>
  <c r="K5" i="2"/>
  <c r="M36" i="2" l="1"/>
  <c r="O36" i="2" s="1"/>
  <c r="M30" i="2"/>
  <c r="O30" i="2" s="1"/>
  <c r="M24" i="2"/>
  <c r="O24" i="2" s="1"/>
  <c r="M18" i="2"/>
  <c r="O18" i="2" s="1"/>
  <c r="N32" i="2"/>
  <c r="P32" i="2" s="1"/>
  <c r="N26" i="2"/>
  <c r="P26" i="2" s="1"/>
  <c r="N20" i="2"/>
  <c r="P20" i="2" s="1"/>
  <c r="N14" i="2"/>
  <c r="P14" i="2" s="1"/>
  <c r="M37" i="2"/>
  <c r="O37" i="2" s="1"/>
  <c r="M25" i="2"/>
  <c r="O25" i="2" s="1"/>
  <c r="M31" i="2"/>
  <c r="O31" i="2" s="1"/>
  <c r="M19" i="2"/>
  <c r="O19" i="2" s="1"/>
  <c r="N36" i="2"/>
  <c r="P36" i="2" s="1"/>
  <c r="N30" i="2"/>
  <c r="P30" i="2" s="1"/>
  <c r="N24" i="2"/>
  <c r="P24" i="2" s="1"/>
  <c r="N18" i="2"/>
  <c r="P18" i="2" s="1"/>
  <c r="N37" i="2"/>
  <c r="P37" i="2" s="1"/>
  <c r="N31" i="2"/>
  <c r="P31" i="2" s="1"/>
  <c r="N25" i="2"/>
  <c r="P25" i="2" s="1"/>
  <c r="N19" i="2"/>
  <c r="P19" i="2" s="1"/>
  <c r="M17" i="2"/>
  <c r="O17" i="2" s="1"/>
  <c r="M35" i="2"/>
  <c r="O35" i="2" s="1"/>
  <c r="M23" i="2"/>
  <c r="O23" i="2" s="1"/>
  <c r="M29" i="2"/>
  <c r="O29" i="2" s="1"/>
  <c r="M33" i="2"/>
  <c r="O33" i="2" s="1"/>
  <c r="M21" i="2"/>
  <c r="O21" i="2" s="1"/>
  <c r="M15" i="2"/>
  <c r="O15" i="2" s="1"/>
  <c r="M27" i="2"/>
  <c r="O27" i="2" s="1"/>
  <c r="N35" i="2"/>
  <c r="P35" i="2" s="1"/>
  <c r="N29" i="2"/>
  <c r="P29" i="2" s="1"/>
  <c r="N23" i="2"/>
  <c r="P23" i="2" s="1"/>
  <c r="N17" i="2"/>
  <c r="P17" i="2" s="1"/>
  <c r="N34" i="2"/>
  <c r="P34" i="2" s="1"/>
  <c r="N28" i="2"/>
  <c r="P28" i="2" s="1"/>
  <c r="N22" i="2"/>
  <c r="P22" i="2" s="1"/>
  <c r="N16" i="2"/>
  <c r="P16" i="2" s="1"/>
  <c r="M32" i="2"/>
  <c r="O32" i="2" s="1"/>
  <c r="B44" i="2" s="1"/>
  <c r="M26" i="2"/>
  <c r="O26" i="2" s="1"/>
  <c r="M20" i="2"/>
  <c r="O20" i="2" s="1"/>
  <c r="B42" i="2" s="1"/>
  <c r="M14" i="2"/>
  <c r="O14" i="2" s="1"/>
  <c r="B41" i="2" s="1"/>
  <c r="N33" i="2"/>
  <c r="P33" i="2" s="1"/>
  <c r="N27" i="2"/>
  <c r="P27" i="2" s="1"/>
  <c r="N21" i="2"/>
  <c r="P21" i="2" s="1"/>
  <c r="N15" i="2"/>
  <c r="P15" i="2" s="1"/>
  <c r="D6" i="1" l="1"/>
  <c r="C42" i="2"/>
  <c r="E6" i="1" s="1"/>
  <c r="B43" i="2"/>
  <c r="C43" i="2"/>
  <c r="E7" i="1" s="1"/>
  <c r="D5" i="1"/>
  <c r="C41" i="2"/>
  <c r="E5" i="1" s="1"/>
  <c r="D8" i="1"/>
  <c r="C44" i="2"/>
  <c r="E8" i="1" s="1"/>
  <c r="D43" i="2" l="1"/>
  <c r="D7" i="1"/>
  <c r="D41" i="2"/>
  <c r="D44" i="2"/>
  <c r="D42" i="2"/>
  <c r="E44" i="2" l="1"/>
  <c r="A8" i="1" s="1"/>
  <c r="F8" i="1"/>
  <c r="E41" i="2"/>
  <c r="A5" i="1" s="1"/>
  <c r="F5" i="1"/>
  <c r="C2" i="1" s="1"/>
  <c r="E42" i="2"/>
  <c r="A6" i="1" s="1"/>
  <c r="F6" i="1"/>
  <c r="E43" i="2"/>
  <c r="A7" i="1" s="1"/>
  <c r="F7" i="1"/>
</calcChain>
</file>

<file path=xl/sharedStrings.xml><?xml version="1.0" encoding="utf-8"?>
<sst xmlns="http://schemas.openxmlformats.org/spreadsheetml/2006/main" count="216" uniqueCount="120">
  <si>
    <t>Фаза 1 — результаты коллективного TOPSIS</t>
  </si>
  <si>
    <t>Лидер TOPSIS</t>
  </si>
  <si>
    <t>Место</t>
  </si>
  <si>
    <t>Концепция</t>
  </si>
  <si>
    <t>Название</t>
  </si>
  <si>
    <t>D +</t>
  </si>
  <si>
    <t>D −</t>
  </si>
  <si>
    <t>CC</t>
  </si>
  <si>
    <t>Нечёткий коллективный TOPSIS</t>
  </si>
  <si>
    <t>Верхняя граница шкалы</t>
  </si>
  <si>
    <t>Критерий</t>
  </si>
  <si>
    <t>Направление</t>
  </si>
  <si>
    <t>Вес l</t>
  </si>
  <si>
    <t>Вес m</t>
  </si>
  <si>
    <t>Вес u</t>
  </si>
  <si>
    <t>w l / 9</t>
  </si>
  <si>
    <t>w m / 9</t>
  </si>
  <si>
    <t>w u / 9</t>
  </si>
  <si>
    <t>Нормировщик</t>
  </si>
  <si>
    <t>Идеал +</t>
  </si>
  <si>
    <t>Антиидеал −</t>
  </si>
  <si>
    <t>Содержание</t>
  </si>
  <si>
    <t>C1</t>
  </si>
  <si>
    <t>max</t>
  </si>
  <si>
    <t>Актуальность проблемы</t>
  </si>
  <si>
    <t>C2</t>
  </si>
  <si>
    <t>Продуктивность труда</t>
  </si>
  <si>
    <t>C3</t>
  </si>
  <si>
    <t>Качество условий труда</t>
  </si>
  <si>
    <t>C4</t>
  </si>
  <si>
    <t>Экономическая выгода</t>
  </si>
  <si>
    <t>C5</t>
  </si>
  <si>
    <t>min</t>
  </si>
  <si>
    <t>Техническая сложность</t>
  </si>
  <si>
    <t>C6</t>
  </si>
  <si>
    <t>Ресурсоёмкость разработки</t>
  </si>
  <si>
    <t>Тип</t>
  </si>
  <si>
    <t>x l</t>
  </si>
  <si>
    <t>x m</t>
  </si>
  <si>
    <t>x u</t>
  </si>
  <si>
    <t>r l</t>
  </si>
  <si>
    <t>r m</t>
  </si>
  <si>
    <t>r u</t>
  </si>
  <si>
    <t>v l</t>
  </si>
  <si>
    <t>v m</t>
  </si>
  <si>
    <t>v u</t>
  </si>
  <si>
    <t>d +</t>
  </si>
  <si>
    <t>d −</t>
  </si>
  <si>
    <t>A1</t>
  </si>
  <si>
    <t>A2</t>
  </si>
  <si>
    <t>A3</t>
  </si>
  <si>
    <t>A4</t>
  </si>
  <si>
    <t>Ассистент продуктивности и благополучия</t>
  </si>
  <si>
    <t>Внутренние заявки и сервисные запросы</t>
  </si>
  <si>
    <t>Обучение и адаптация сотрудников</t>
  </si>
  <si>
    <t>Графики смен и загрузка персонала</t>
  </si>
  <si>
    <t>Ответы экспертного опроса TOPSIS</t>
  </si>
  <si>
    <t>Код</t>
  </si>
  <si>
    <t>Что оценивали</t>
  </si>
  <si>
    <t>Бредихин</t>
  </si>
  <si>
    <t>Символокова</t>
  </si>
  <si>
    <t>Недикова</t>
  </si>
  <si>
    <t>Важность C1: Актуальность проблемы</t>
  </si>
  <si>
    <t>Важнее = выше</t>
  </si>
  <si>
    <t>Важность C2: Продуктивность труда</t>
  </si>
  <si>
    <t>Важность C3: Качество условий труда</t>
  </si>
  <si>
    <t>Важность C4: Экономическая выгода</t>
  </si>
  <si>
    <t>Важность C5: Техническая сложность</t>
  </si>
  <si>
    <t>Важность C6: Ресурсоёмкость разработки</t>
  </si>
  <si>
    <t>A1_C1</t>
  </si>
  <si>
    <t>A1, C1: Актуальность проблемы</t>
  </si>
  <si>
    <t>Больше лучше</t>
  </si>
  <si>
    <t>A1_C2</t>
  </si>
  <si>
    <t>A1, C2: Продуктивность труда</t>
  </si>
  <si>
    <t>A1_C3</t>
  </si>
  <si>
    <t>A1, C3: Качество условий труда</t>
  </si>
  <si>
    <t>A1_C4</t>
  </si>
  <si>
    <t>A1, C4: Экономическая выгода</t>
  </si>
  <si>
    <t>A1_C5</t>
  </si>
  <si>
    <t>A1, C5: Техническая сложность</t>
  </si>
  <si>
    <t>Меньше лучше</t>
  </si>
  <si>
    <t>A1_C6</t>
  </si>
  <si>
    <t>A1, C6: Ресурсоёмкость разработки</t>
  </si>
  <si>
    <t>A2_C1</t>
  </si>
  <si>
    <t>A2, C1: Актуальность проблемы</t>
  </si>
  <si>
    <t>A2_C2</t>
  </si>
  <si>
    <t>A2, C2: Продуктивность труда</t>
  </si>
  <si>
    <t>A2_C3</t>
  </si>
  <si>
    <t>A2, C3: Качество условий труда</t>
  </si>
  <si>
    <t>A2_C4</t>
  </si>
  <si>
    <t>A2, C4: Экономическая выгода</t>
  </si>
  <si>
    <t>A2_C5</t>
  </si>
  <si>
    <t>A2, C5: Техническая сложность</t>
  </si>
  <si>
    <t>A2_C6</t>
  </si>
  <si>
    <t>A2, C6: Ресурсоёмкость разработки</t>
  </si>
  <si>
    <t>A3_C1</t>
  </si>
  <si>
    <t>A3, C1: Актуальность проблемы</t>
  </si>
  <si>
    <t>A3_C2</t>
  </si>
  <si>
    <t>A3, C2: Продуктивность труда</t>
  </si>
  <si>
    <t>A3_C3</t>
  </si>
  <si>
    <t>A3, C3: Качество условий труда</t>
  </si>
  <si>
    <t>A3_C4</t>
  </si>
  <si>
    <t>A3, C4: Экономическая выгода</t>
  </si>
  <si>
    <t>A3_C5</t>
  </si>
  <si>
    <t>A3, C5: Техническая сложность</t>
  </si>
  <si>
    <t>A3_C6</t>
  </si>
  <si>
    <t>A3, C6: Ресурсоёмкость разработки</t>
  </si>
  <si>
    <t>A4_C1</t>
  </si>
  <si>
    <t>A4, C1: Актуальность проблемы</t>
  </si>
  <si>
    <t>A4_C2</t>
  </si>
  <si>
    <t>A4, C2: Продуктивность труда</t>
  </si>
  <si>
    <t>A4_C3</t>
  </si>
  <si>
    <t>A4, C3: Качество условий труда</t>
  </si>
  <si>
    <t>A4_C4</t>
  </si>
  <si>
    <t>A4, C4: Экономическая выгода</t>
  </si>
  <si>
    <t>A4_C5</t>
  </si>
  <si>
    <t>A4, C5: Техническая сложность</t>
  </si>
  <si>
    <t>A4_C6</t>
  </si>
  <si>
    <t>A4, C6: Ресурсоёмкость разработки</t>
  </si>
  <si>
    <t xml:space="preserve">Для выбора концепции проекта использован нечёткий коллективный TOPSIS. Три участника команды независимо оценили важность шести критериев и четыре концепции по каждому критерию. Оценки выставлялись по выбранной шкале от 1 до 9. Исходные ответы представлены на листе «Ответы».
Для каждого показателя три экспертные оценки упорядочены от меньшей к большей. Получены тройки (l, m, u), где l – минимальная оценка, m – медиана, u – максимальная оценка. Для критериев C1–C4 эти значения рассматриваются как пессимистичная, ожидаемая и оптимистичная оценки. Для критериев затрат C5–C6 меньшие значения соответствуют оптимистичной оценке, а большие – пессимистичной.
Оценки важности критериев также объединены в тройки. Для приведения к диапазону от 0 до 1 каждая компонента разделена на 9 – верхнюю границу шкалы. Полученные значения используются как веса критериев. В этом варианте расчёта веса не являются процентными долями и не требуют, чтобы их сумма равнялась единице.
Далее выполнена нормализация оценок концепций. Для критериев C1–C4, по которым большее значение предпочтительнее, каждая компонента тройки разделена на максимальную верхнюю оценку соответствующего критерия среди четырёх концепций. Для критериев C5–C6, по которым предпочтительны меньшие затраты, использовано обратное преобразование: (L/u, L/m, L/l), где L – минимальная фактически полученная оценка данного критерия. После нормализации более высокое значение по любому критерию означает более предпочтительный результат.
Нормализованные оценки концепций покомпонентно умножены на веса соответствующих критериев. Полученные взвешенные тройки учитывают как оценки концепций, так и важность критериев для выбора проекта.
Для каждого критерия определены идеальное и антиидеальное значения. Максимальная верхняя компонента взвешенных оценок обозначена p и использована для построения идеальной тройки (p, p, p). Минимальная нижняя компонента обозначена n и использована для построения антиидеальной тройки (n, n, n).
Затем рассчитаны расстояния от каждой взвешенной тройки до идеала и антиидеала. Расстояние между двумя тройками x и y определяется по формуле: d(x, y) = √(((x_l − y_l)² + (x_m − y_m)² + (x_u − y_u)²) / 3). Расстояния до идеала по шести критериям суммированы в показатель D+, а расстояния до антиидеала – в показатель D−.
Итоговый коэффициент близости рассчитан по формуле CC = D− / (D+ + D−). Концепции ранжированы по убыванию CC: чем выше коэффициент, тем предпочтительнее концепция. По результатам расчёта первое место заняла А2, второе – А3, третье – А4, четвёртое – А1.
Промежуточные вычисления и итоговые показатели представлены на листе «Расчёт». Лист «Итоги» содержит ссылки на рассчитанные результаты. Все вычисления выполняются с полной точностью, а отображаемые значения округлены до четырёх знаков после запятой.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</si>
</sst>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0">
    <font>
      <sz val="11"/>
      <name val="Carlito"/>
    </font>
    <font>
      <sz val="12"/>
      <color rgb="FF000000"/>
      <name val="Times New Roman"/>
    </font>
    <font>
      <sz val="11"/>
      <name val="Carlito"/>
    </font>
    <font>
      <sz val="14"/>
      <color rgb="FF000000"/>
      <name val="Times New Roman"/>
      <family val="1"/>
      <charset val="204"/>
    </font>
    <font>
      <b/>
      <sz val="18"/>
      <color rgb="FF000000"/>
      <name val="Times New Roman"/>
      <family val="1"/>
      <charset val="204"/>
    </font>
    <font>
      <b/>
      <sz val="20"/>
      <color rgb="FF000000"/>
      <name val="Times New Roman"/>
      <family val="1"/>
      <charset val="204"/>
    </font>
    <font>
      <sz val="14"/>
      <name val="Carlito"/>
    </font>
    <font>
      <b/>
      <sz val="14"/>
      <color rgb="FF000000"/>
      <name val="Times New Roman"/>
      <family val="1"/>
      <charset val="204"/>
    </font>
    <font>
      <sz val="18"/>
      <color rgb="FF000000"/>
      <name val="Times New Roman"/>
      <family val="1"/>
      <charset val="204"/>
    </font>
    <font>
      <sz val="18"/>
      <name val="Carlito"/>
    </font>
  </fonts>
  <fills count="4">
    <fill>
      <patternFill patternType="none"/>
    </fill>
    <fill>
      <patternFill patternType="gray125"/>
    </fill>
    <fill>
      <patternFill patternType="solid">
        <fgColor rgb="FFE7E7E7"/>
      </patternFill>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cellStyleXfs>
  <cellXfs count="16">
    <xf numFmtId="0" fontId="0" fillId="0" borderId="0" xfId="0"/>
    <xf numFmtId="0" fontId="1" fillId="0" borderId="0" xfId="1" applyNumberFormat="1" applyFont="1" applyFill="1" applyBorder="1" applyAlignment="1">
      <alignment vertical="center"/>
    </xf>
    <xf numFmtId="0" fontId="3" fillId="0" borderId="0" xfId="1" applyNumberFormat="1" applyFont="1" applyFill="1" applyBorder="1" applyAlignment="1">
      <alignment horizontal="left" vertical="center" wrapText="1"/>
    </xf>
    <xf numFmtId="0" fontId="4" fillId="0" borderId="0" xfId="1" applyNumberFormat="1" applyFont="1" applyFill="1" applyBorder="1" applyAlignment="1">
      <alignment vertical="center"/>
    </xf>
    <xf numFmtId="0" fontId="5" fillId="0" borderId="0" xfId="1" applyNumberFormat="1" applyFont="1" applyFill="1" applyBorder="1" applyAlignment="1">
      <alignment vertical="center"/>
    </xf>
    <xf numFmtId="0" fontId="3" fillId="0" borderId="0" xfId="1" applyNumberFormat="1" applyFont="1" applyFill="1" applyBorder="1" applyAlignment="1">
      <alignment vertical="center"/>
    </xf>
    <xf numFmtId="0" fontId="6" fillId="0" borderId="0" xfId="0" applyFont="1"/>
    <xf numFmtId="0" fontId="7" fillId="2" borderId="0" xfId="1" applyNumberFormat="1" applyFont="1" applyFill="1" applyBorder="1" applyAlignment="1">
      <alignment horizontal="center" vertical="center" wrapText="1"/>
    </xf>
    <xf numFmtId="0" fontId="3" fillId="0" borderId="0" xfId="1" applyNumberFormat="1" applyFont="1" applyFill="1" applyBorder="1" applyAlignment="1">
      <alignment vertical="center" wrapText="1"/>
    </xf>
    <xf numFmtId="164" fontId="3" fillId="0" borderId="0" xfId="1" applyNumberFormat="1" applyFont="1" applyFill="1" applyBorder="1" applyAlignment="1">
      <alignment vertical="center"/>
    </xf>
    <xf numFmtId="0" fontId="3" fillId="3" borderId="0" xfId="1" applyNumberFormat="1" applyFont="1" applyFill="1" applyBorder="1" applyAlignment="1">
      <alignment vertical="center"/>
    </xf>
    <xf numFmtId="0" fontId="3" fillId="3" borderId="0" xfId="1" applyNumberFormat="1" applyFont="1" applyFill="1" applyBorder="1" applyAlignment="1">
      <alignment vertical="center" wrapText="1"/>
    </xf>
    <xf numFmtId="164" fontId="3" fillId="3" borderId="0" xfId="1" applyNumberFormat="1" applyFont="1" applyFill="1" applyBorder="1" applyAlignment="1">
      <alignment vertical="center"/>
    </xf>
    <xf numFmtId="1" fontId="3" fillId="0" borderId="0" xfId="1" applyNumberFormat="1" applyFont="1" applyFill="1" applyBorder="1" applyAlignment="1">
      <alignment vertical="center"/>
    </xf>
    <xf numFmtId="0" fontId="8" fillId="0" borderId="0" xfId="1" applyNumberFormat="1" applyFont="1" applyFill="1" applyBorder="1" applyAlignment="1">
      <alignment vertical="center"/>
    </xf>
    <xf numFmtId="0" fontId="9" fillId="0" borderId="0" xfId="0" applyFont="1"/>
  </cellXfs>
  <cellStyles count="2">
    <cellStyle name="Normal" xfId="1"/>
    <cellStyle name="Обычный" xfId="0" builtinId="0"/>
  </cellStyles>
  <dxfs count="2">
    <dxf>
      <font>
        <color rgb="FFB02020"/>
      </font>
      <fill>
        <patternFill patternType="solid">
          <bgColor rgb="FFFCE0DE"/>
        </patternFill>
      </fil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zoomScale="58" zoomScaleNormal="77" workbookViewId="0">
      <selection activeCell="C7" sqref="C7"/>
    </sheetView>
  </sheetViews>
  <sheetFormatPr defaultRowHeight="13.8"/>
  <cols>
    <col min="1" max="1" width="15" customWidth="1"/>
    <col min="2" max="2" width="16" customWidth="1"/>
    <col min="3" max="3" width="58" customWidth="1"/>
    <col min="4" max="5" width="17" customWidth="1"/>
    <col min="6" max="6" width="25.09765625" customWidth="1"/>
    <col min="11" max="11" width="8.796875" customWidth="1"/>
  </cols>
  <sheetData>
    <row r="1" spans="1:16" ht="22.05" customHeight="1">
      <c r="A1" s="4" t="s">
        <v>0</v>
      </c>
      <c r="B1" s="1"/>
      <c r="C1" s="1"/>
      <c r="D1" s="1"/>
      <c r="E1" s="1"/>
      <c r="F1" s="1"/>
      <c r="G1" s="1"/>
      <c r="H1" s="1"/>
      <c r="I1" s="1"/>
      <c r="J1" s="1"/>
      <c r="K1" s="1"/>
      <c r="L1" s="1"/>
      <c r="M1" s="1"/>
      <c r="N1" s="1"/>
      <c r="O1" s="1"/>
      <c r="P1" s="1"/>
    </row>
    <row r="2" spans="1:16" s="6" customFormat="1" ht="22.05" customHeight="1">
      <c r="A2" s="5" t="s">
        <v>1</v>
      </c>
      <c r="B2" s="5"/>
      <c r="C2" s="5" t="str">
        <f>IFERROR(INDEX(C5:C8,MATCH(MAX(F5:F8),F5:F8,0)),"Проверьте исходные оценки")</f>
        <v>Внутренние заявки и сервисные запросы</v>
      </c>
      <c r="D2" s="5"/>
      <c r="E2" s="5"/>
      <c r="F2" s="5"/>
      <c r="G2" s="5"/>
      <c r="H2" s="5"/>
      <c r="I2" s="5"/>
      <c r="J2" s="5"/>
      <c r="K2" s="5"/>
      <c r="L2" s="5"/>
      <c r="M2" s="5"/>
      <c r="N2" s="5"/>
      <c r="O2" s="5"/>
      <c r="P2" s="5"/>
    </row>
    <row r="3" spans="1:16" s="6" customFormat="1" ht="21.6" customHeight="1">
      <c r="A3" s="5"/>
      <c r="B3" s="5"/>
      <c r="C3" s="5"/>
      <c r="D3" s="5"/>
      <c r="E3" s="5"/>
      <c r="F3" s="5"/>
      <c r="G3" s="5"/>
      <c r="H3" s="5"/>
      <c r="I3" s="5"/>
      <c r="J3" s="5"/>
      <c r="K3" s="5"/>
      <c r="L3" s="5"/>
      <c r="M3" s="5"/>
      <c r="N3" s="5"/>
      <c r="O3" s="5"/>
      <c r="P3" s="5"/>
    </row>
    <row r="4" spans="1:16" s="6" customFormat="1" ht="31.95" customHeight="1">
      <c r="A4" s="7" t="s">
        <v>2</v>
      </c>
      <c r="B4" s="7" t="s">
        <v>3</v>
      </c>
      <c r="C4" s="7" t="s">
        <v>4</v>
      </c>
      <c r="D4" s="7" t="s">
        <v>5</v>
      </c>
      <c r="E4" s="7" t="s">
        <v>6</v>
      </c>
      <c r="F4" s="7" t="s">
        <v>7</v>
      </c>
      <c r="G4" s="5"/>
      <c r="H4" s="5"/>
      <c r="I4" s="5"/>
      <c r="J4" s="5"/>
      <c r="K4" s="5"/>
      <c r="L4" s="5"/>
      <c r="M4" s="5"/>
      <c r="N4" s="5"/>
      <c r="O4" s="5"/>
      <c r="P4" s="5"/>
    </row>
    <row r="5" spans="1:16" s="6" customFormat="1" ht="36" customHeight="1">
      <c r="A5" s="5">
        <f>Расчёт!E41</f>
        <v>4</v>
      </c>
      <c r="B5" s="5" t="str">
        <f>Расчёт!A41</f>
        <v>A1</v>
      </c>
      <c r="C5" s="8" t="str">
        <f>Расчёт!F41</f>
        <v>Ассистент продуктивности и благополучия</v>
      </c>
      <c r="D5" s="9">
        <f>Расчёт!B41</f>
        <v>2.3661642701380985</v>
      </c>
      <c r="E5" s="9">
        <f>Расчёт!C41</f>
        <v>1.2441776590864539</v>
      </c>
      <c r="F5" s="9">
        <f>Расчёт!D41</f>
        <v>0.34461491002146843</v>
      </c>
      <c r="G5" s="5"/>
      <c r="H5" s="5"/>
      <c r="I5" s="5"/>
      <c r="J5" s="5"/>
      <c r="K5" s="5"/>
      <c r="L5" s="5"/>
      <c r="M5" s="5"/>
      <c r="N5" s="5"/>
      <c r="O5" s="5"/>
      <c r="P5" s="5"/>
    </row>
    <row r="6" spans="1:16" s="6" customFormat="1" ht="36" customHeight="1">
      <c r="A6" s="10">
        <f>Расчёт!E42</f>
        <v>1</v>
      </c>
      <c r="B6" s="10" t="str">
        <f>Расчёт!A42</f>
        <v>A2</v>
      </c>
      <c r="C6" s="11" t="str">
        <f>Расчёт!F42</f>
        <v>Внутренние заявки и сервисные запросы</v>
      </c>
      <c r="D6" s="12">
        <f>Расчёт!B42</f>
        <v>1.2047183517353517</v>
      </c>
      <c r="E6" s="12">
        <f>Расчёт!C42</f>
        <v>2.4617148493552428</v>
      </c>
      <c r="F6" s="12">
        <f>Расчёт!D42</f>
        <v>0.67141952800967342</v>
      </c>
      <c r="G6" s="5"/>
      <c r="H6" s="5"/>
      <c r="I6" s="5"/>
      <c r="J6" s="5"/>
      <c r="K6" s="5"/>
      <c r="L6" s="5"/>
      <c r="M6" s="5"/>
      <c r="N6" s="5"/>
      <c r="O6" s="5"/>
      <c r="P6" s="5"/>
    </row>
    <row r="7" spans="1:16" s="6" customFormat="1" ht="36" customHeight="1">
      <c r="A7" s="5">
        <f>Расчёт!E43</f>
        <v>2</v>
      </c>
      <c r="B7" s="5" t="str">
        <f>Расчёт!A43</f>
        <v>A3</v>
      </c>
      <c r="C7" s="8" t="str">
        <f>Расчёт!F43</f>
        <v>Обучение и адаптация сотрудников</v>
      </c>
      <c r="D7" s="9">
        <f>Расчёт!B43</f>
        <v>2.0929375935977026</v>
      </c>
      <c r="E7" s="9">
        <f>Расчёт!C43</f>
        <v>1.4529577459764813</v>
      </c>
      <c r="F7" s="9">
        <f>Расчёт!D43</f>
        <v>0.40975765126529728</v>
      </c>
      <c r="G7" s="5"/>
      <c r="H7" s="5"/>
      <c r="I7" s="5"/>
      <c r="J7" s="5"/>
      <c r="K7" s="5"/>
      <c r="L7" s="5"/>
      <c r="M7" s="5"/>
      <c r="N7" s="5"/>
      <c r="O7" s="5"/>
      <c r="P7" s="5"/>
    </row>
    <row r="8" spans="1:16" s="6" customFormat="1" ht="36" customHeight="1">
      <c r="A8" s="5">
        <f>Расчёт!E44</f>
        <v>3</v>
      </c>
      <c r="B8" s="5" t="str">
        <f>Расчёт!A44</f>
        <v>A4</v>
      </c>
      <c r="C8" s="8" t="str">
        <f>Расчёт!F44</f>
        <v>Графики смен и загрузка персонала</v>
      </c>
      <c r="D8" s="9">
        <f>Расчёт!B44</f>
        <v>2.2636478441879913</v>
      </c>
      <c r="E8" s="9">
        <f>Расчёт!C44</f>
        <v>1.3521266856662155</v>
      </c>
      <c r="F8" s="9">
        <f>Расчёт!D44</f>
        <v>0.37395215727700121</v>
      </c>
      <c r="G8" s="5"/>
      <c r="H8" s="5"/>
      <c r="I8" s="5"/>
      <c r="J8" s="5"/>
      <c r="K8" s="5"/>
      <c r="L8" s="5"/>
      <c r="M8" s="5"/>
      <c r="N8" s="5"/>
      <c r="O8" s="5"/>
      <c r="P8" s="5"/>
    </row>
    <row r="9" spans="1:16" s="6" customFormat="1" ht="22.05" customHeight="1">
      <c r="A9" s="5"/>
      <c r="B9" s="5"/>
      <c r="C9" s="5"/>
      <c r="D9" s="5"/>
      <c r="E9" s="5"/>
      <c r="F9" s="5"/>
      <c r="G9" s="5"/>
      <c r="H9" s="5"/>
      <c r="I9" s="5"/>
      <c r="J9" s="5"/>
      <c r="K9" s="5"/>
      <c r="L9" s="5"/>
      <c r="M9" s="5"/>
      <c r="N9" s="5"/>
      <c r="O9" s="5"/>
      <c r="P9" s="5"/>
    </row>
    <row r="10" spans="1:16" s="6" customFormat="1" ht="14.4" customHeight="1">
      <c r="A10" s="5"/>
      <c r="B10" s="5"/>
      <c r="C10" s="5"/>
      <c r="D10" s="5"/>
      <c r="E10" s="5"/>
      <c r="F10" s="5"/>
      <c r="G10" s="5"/>
      <c r="H10" s="5"/>
      <c r="I10" s="5"/>
      <c r="J10" s="5"/>
      <c r="K10" s="5"/>
      <c r="L10" s="5"/>
      <c r="M10" s="5"/>
      <c r="N10" s="5"/>
      <c r="O10" s="5"/>
      <c r="P10" s="5"/>
    </row>
    <row r="11" spans="1:16" s="6" customFormat="1" ht="14.4" customHeight="1">
      <c r="A11" s="2" t="s">
        <v>119</v>
      </c>
      <c r="B11" s="2"/>
      <c r="C11" s="2"/>
      <c r="D11" s="2"/>
      <c r="E11" s="2"/>
      <c r="F11" s="2"/>
      <c r="G11" s="5"/>
      <c r="H11" s="5"/>
      <c r="I11" s="5"/>
      <c r="J11" s="5"/>
      <c r="K11" s="5"/>
      <c r="L11" s="5"/>
      <c r="M11" s="5"/>
      <c r="N11" s="5"/>
      <c r="O11" s="5"/>
      <c r="P11" s="5"/>
    </row>
    <row r="12" spans="1:16" s="6" customFormat="1" ht="22.05" customHeight="1">
      <c r="A12" s="2"/>
      <c r="B12" s="2"/>
      <c r="C12" s="2"/>
      <c r="D12" s="2"/>
      <c r="E12" s="2"/>
      <c r="F12" s="2"/>
      <c r="G12" s="5"/>
      <c r="H12" s="5"/>
      <c r="I12" s="5"/>
      <c r="J12" s="5"/>
      <c r="K12" s="5"/>
      <c r="L12" s="5"/>
      <c r="M12" s="5"/>
      <c r="N12" s="5"/>
      <c r="O12" s="5"/>
      <c r="P12" s="5"/>
    </row>
    <row r="13" spans="1:16" s="6" customFormat="1" ht="22.05" customHeight="1">
      <c r="A13" s="2"/>
      <c r="B13" s="2"/>
      <c r="C13" s="2"/>
      <c r="D13" s="2"/>
      <c r="E13" s="2"/>
      <c r="F13" s="2"/>
      <c r="G13" s="5"/>
      <c r="H13" s="5"/>
      <c r="I13" s="5"/>
      <c r="J13" s="5"/>
      <c r="K13" s="5"/>
      <c r="L13" s="5"/>
      <c r="M13" s="5"/>
      <c r="N13" s="5"/>
      <c r="O13" s="5"/>
      <c r="P13" s="5"/>
    </row>
    <row r="14" spans="1:16" s="6" customFormat="1" ht="22.05" customHeight="1">
      <c r="A14" s="2"/>
      <c r="B14" s="2"/>
      <c r="C14" s="2"/>
      <c r="D14" s="2"/>
      <c r="E14" s="2"/>
      <c r="F14" s="2"/>
      <c r="G14" s="5"/>
      <c r="H14" s="5"/>
      <c r="I14" s="5"/>
      <c r="J14" s="5"/>
      <c r="K14" s="5"/>
      <c r="L14" s="5"/>
      <c r="M14" s="5"/>
      <c r="N14" s="5"/>
      <c r="O14" s="5"/>
      <c r="P14" s="5"/>
    </row>
    <row r="15" spans="1:16" s="6" customFormat="1" ht="22.05" customHeight="1">
      <c r="A15" s="2"/>
      <c r="B15" s="2"/>
      <c r="C15" s="2"/>
      <c r="D15" s="2"/>
      <c r="E15" s="2"/>
      <c r="F15" s="2"/>
      <c r="G15" s="5"/>
      <c r="H15" s="5"/>
      <c r="I15" s="5"/>
      <c r="J15" s="5"/>
      <c r="K15" s="5"/>
      <c r="L15" s="5"/>
      <c r="M15" s="5"/>
      <c r="N15" s="5"/>
      <c r="O15" s="5"/>
      <c r="P15" s="5"/>
    </row>
    <row r="16" spans="1:16" s="6" customFormat="1" ht="22.05" customHeight="1">
      <c r="A16" s="2"/>
      <c r="B16" s="2"/>
      <c r="C16" s="2"/>
      <c r="D16" s="2"/>
      <c r="E16" s="2"/>
      <c r="F16" s="2"/>
      <c r="G16" s="5"/>
      <c r="H16" s="5"/>
      <c r="I16" s="5"/>
      <c r="J16" s="5"/>
      <c r="K16" s="5"/>
      <c r="L16" s="5"/>
      <c r="M16" s="5"/>
      <c r="N16" s="5"/>
      <c r="O16" s="5"/>
      <c r="P16" s="5"/>
    </row>
    <row r="17" spans="1:16" s="6" customFormat="1" ht="22.05" customHeight="1">
      <c r="A17" s="2"/>
      <c r="B17" s="2"/>
      <c r="C17" s="2"/>
      <c r="D17" s="2"/>
      <c r="E17" s="2"/>
      <c r="F17" s="2"/>
      <c r="G17" s="5"/>
      <c r="H17" s="5"/>
      <c r="I17" s="5"/>
      <c r="J17" s="5"/>
      <c r="K17" s="5"/>
      <c r="L17" s="5"/>
      <c r="M17" s="5"/>
      <c r="N17" s="5"/>
      <c r="O17" s="5"/>
      <c r="P17" s="5"/>
    </row>
    <row r="18" spans="1:16" s="6" customFormat="1" ht="327" customHeight="1">
      <c r="A18" s="2"/>
      <c r="B18" s="2"/>
      <c r="C18" s="2"/>
      <c r="D18" s="2"/>
      <c r="E18" s="2"/>
      <c r="F18" s="2"/>
      <c r="G18" s="5"/>
      <c r="H18" s="5"/>
      <c r="I18" s="5"/>
      <c r="J18" s="5"/>
      <c r="K18" s="5"/>
      <c r="L18" s="5"/>
      <c r="M18" s="5"/>
      <c r="N18" s="5"/>
      <c r="O18" s="5"/>
      <c r="P18" s="5"/>
    </row>
    <row r="19" spans="1:16" ht="22.05" customHeight="1">
      <c r="A19" s="1"/>
      <c r="B19" s="1"/>
      <c r="C19" s="1"/>
      <c r="D19" s="1"/>
      <c r="E19" s="1"/>
      <c r="F19" s="1"/>
      <c r="G19" s="1"/>
      <c r="H19" s="1"/>
      <c r="I19" s="1"/>
      <c r="J19" s="1"/>
      <c r="K19" s="1"/>
      <c r="L19" s="1"/>
      <c r="M19" s="1"/>
      <c r="N19" s="1"/>
      <c r="O19" s="1"/>
      <c r="P19" s="1"/>
    </row>
    <row r="20" spans="1:16" ht="22.05" customHeight="1">
      <c r="A20" s="1"/>
      <c r="B20" s="1"/>
      <c r="C20" s="1"/>
      <c r="D20" s="1"/>
      <c r="E20" s="1"/>
      <c r="F20" s="1"/>
      <c r="G20" s="1"/>
      <c r="H20" s="1"/>
      <c r="I20" s="1"/>
      <c r="J20" s="1"/>
      <c r="K20" s="1"/>
      <c r="L20" s="1"/>
      <c r="M20" s="1"/>
      <c r="N20" s="1"/>
      <c r="O20" s="1"/>
      <c r="P20" s="1"/>
    </row>
    <row r="21" spans="1:16" ht="22.05" customHeight="1">
      <c r="A21" s="1"/>
      <c r="B21" s="1"/>
      <c r="C21" s="1"/>
      <c r="D21" s="1"/>
      <c r="E21" s="1"/>
      <c r="F21" s="1"/>
      <c r="G21" s="1"/>
      <c r="H21" s="1"/>
      <c r="I21" s="1"/>
      <c r="J21" s="1"/>
      <c r="K21" s="1"/>
      <c r="L21" s="1"/>
      <c r="M21" s="1"/>
      <c r="N21" s="1"/>
      <c r="O21" s="1"/>
      <c r="P21" s="1"/>
    </row>
    <row r="22" spans="1:16" ht="22.05" customHeight="1">
      <c r="A22" s="1"/>
      <c r="B22" s="1"/>
      <c r="C22" s="1"/>
      <c r="D22" s="1"/>
      <c r="E22" s="1"/>
      <c r="F22" s="1"/>
      <c r="G22" s="1"/>
      <c r="H22" s="1"/>
      <c r="I22" s="1"/>
      <c r="J22" s="1"/>
      <c r="K22" s="1"/>
      <c r="L22" s="1"/>
      <c r="M22" s="1"/>
      <c r="N22" s="1"/>
      <c r="O22" s="1"/>
      <c r="P22" s="1"/>
    </row>
    <row r="23" spans="1:16" ht="22.05" customHeight="1">
      <c r="A23" s="1"/>
      <c r="B23" s="1"/>
      <c r="C23" s="1"/>
      <c r="D23" s="1"/>
      <c r="E23" s="1"/>
      <c r="F23" s="1"/>
      <c r="G23" s="1"/>
      <c r="H23" s="1"/>
      <c r="I23" s="1"/>
      <c r="J23" s="1"/>
      <c r="K23" s="1"/>
      <c r="L23" s="1"/>
      <c r="M23" s="1"/>
      <c r="N23" s="1"/>
      <c r="O23" s="1"/>
      <c r="P23" s="1"/>
    </row>
    <row r="24" spans="1:16" ht="22.05" customHeight="1">
      <c r="A24" s="1"/>
      <c r="B24" s="1"/>
      <c r="C24" s="1"/>
      <c r="D24" s="1"/>
      <c r="E24" s="1"/>
      <c r="F24" s="1"/>
      <c r="G24" s="1"/>
      <c r="H24" s="1"/>
      <c r="I24" s="1"/>
      <c r="J24" s="1"/>
      <c r="K24" s="1"/>
      <c r="L24" s="1"/>
      <c r="M24" s="1"/>
      <c r="N24" s="1"/>
      <c r="O24" s="1"/>
      <c r="P24" s="1"/>
    </row>
    <row r="25" spans="1:16" ht="22.05" customHeight="1">
      <c r="A25" s="1"/>
      <c r="B25" s="1"/>
      <c r="C25" s="1"/>
      <c r="D25" s="1"/>
      <c r="E25" s="1"/>
      <c r="F25" s="1"/>
      <c r="G25" s="1"/>
      <c r="H25" s="1"/>
      <c r="I25" s="1"/>
      <c r="J25" s="1"/>
      <c r="K25" s="1"/>
      <c r="L25" s="1"/>
      <c r="M25" s="1"/>
      <c r="N25" s="1"/>
      <c r="O25" s="1"/>
      <c r="P25" s="1"/>
    </row>
    <row r="26" spans="1:16" ht="22.05" customHeight="1">
      <c r="A26" s="1"/>
      <c r="B26" s="1"/>
      <c r="C26" s="1"/>
      <c r="D26" s="1"/>
      <c r="E26" s="1"/>
      <c r="F26" s="1"/>
      <c r="G26" s="1"/>
      <c r="H26" s="1"/>
      <c r="I26" s="1"/>
      <c r="J26" s="1"/>
      <c r="K26" s="1"/>
      <c r="L26" s="1"/>
      <c r="M26" s="1"/>
      <c r="N26" s="1"/>
      <c r="O26" s="1"/>
      <c r="P26" s="1"/>
    </row>
    <row r="27" spans="1:16" ht="22.05" customHeight="1">
      <c r="A27" s="1"/>
      <c r="B27" s="1"/>
      <c r="C27" s="1"/>
      <c r="D27" s="1"/>
      <c r="E27" s="1"/>
      <c r="F27" s="1"/>
      <c r="G27" s="1"/>
      <c r="H27" s="1"/>
      <c r="I27" s="1"/>
      <c r="J27" s="1"/>
      <c r="K27" s="1"/>
      <c r="L27" s="1"/>
      <c r="M27" s="1"/>
      <c r="N27" s="1"/>
      <c r="O27" s="1"/>
      <c r="P27" s="1"/>
    </row>
    <row r="28" spans="1:16" ht="22.05" customHeight="1">
      <c r="A28" s="1"/>
      <c r="B28" s="1"/>
      <c r="C28" s="1"/>
      <c r="D28" s="1"/>
      <c r="E28" s="1"/>
      <c r="F28" s="1"/>
      <c r="G28" s="1"/>
      <c r="H28" s="1"/>
      <c r="I28" s="1"/>
      <c r="J28" s="1"/>
      <c r="K28" s="1"/>
      <c r="L28" s="1"/>
      <c r="M28" s="1"/>
      <c r="N28" s="1"/>
      <c r="O28" s="1"/>
      <c r="P28" s="1"/>
    </row>
    <row r="29" spans="1:16" ht="22.05" customHeight="1">
      <c r="A29" s="1"/>
      <c r="B29" s="1"/>
      <c r="C29" s="1"/>
      <c r="D29" s="1"/>
      <c r="E29" s="1"/>
      <c r="F29" s="1"/>
      <c r="G29" s="1"/>
      <c r="H29" s="1"/>
      <c r="I29" s="1"/>
      <c r="J29" s="1"/>
      <c r="K29" s="1"/>
      <c r="L29" s="1"/>
      <c r="M29" s="1"/>
      <c r="N29" s="1"/>
      <c r="O29" s="1"/>
      <c r="P29" s="1"/>
    </row>
    <row r="30" spans="1:16" ht="22.05" customHeight="1">
      <c r="A30" s="1"/>
      <c r="B30" s="1"/>
      <c r="C30" s="1"/>
      <c r="D30" s="1"/>
      <c r="E30" s="1"/>
      <c r="F30" s="1"/>
      <c r="G30" s="1"/>
      <c r="H30" s="1"/>
      <c r="I30" s="1"/>
      <c r="J30" s="1"/>
      <c r="K30" s="1"/>
      <c r="L30" s="1"/>
      <c r="M30" s="1"/>
      <c r="N30" s="1"/>
      <c r="O30" s="1"/>
      <c r="P30" s="1"/>
    </row>
    <row r="31" spans="1:16" ht="22.05" customHeight="1">
      <c r="A31" s="1"/>
      <c r="B31" s="1"/>
      <c r="C31" s="1"/>
      <c r="D31" s="1"/>
      <c r="E31" s="1"/>
      <c r="F31" s="1"/>
      <c r="G31" s="1"/>
      <c r="H31" s="1"/>
      <c r="I31" s="1"/>
      <c r="J31" s="1"/>
      <c r="K31" s="1"/>
      <c r="L31" s="1"/>
      <c r="M31" s="1"/>
      <c r="N31" s="1"/>
      <c r="O31" s="1"/>
      <c r="P31" s="1"/>
    </row>
    <row r="32" spans="1:16" ht="22.05" customHeight="1">
      <c r="A32" s="1"/>
      <c r="B32" s="1"/>
      <c r="C32" s="1"/>
      <c r="D32" s="1"/>
      <c r="E32" s="1"/>
      <c r="F32" s="1"/>
      <c r="G32" s="1"/>
      <c r="H32" s="1"/>
      <c r="I32" s="1"/>
      <c r="J32" s="1"/>
      <c r="K32" s="1"/>
      <c r="L32" s="1"/>
      <c r="M32" s="1"/>
      <c r="N32" s="1"/>
      <c r="O32" s="1"/>
      <c r="P32" s="1"/>
    </row>
    <row r="33" spans="1:16" ht="22.05" customHeight="1">
      <c r="A33" s="1"/>
      <c r="B33" s="1"/>
      <c r="C33" s="1"/>
      <c r="D33" s="1"/>
      <c r="E33" s="1"/>
      <c r="F33" s="1"/>
      <c r="G33" s="1"/>
      <c r="H33" s="1"/>
      <c r="I33" s="1"/>
      <c r="J33" s="1"/>
      <c r="K33" s="1"/>
      <c r="L33" s="1"/>
      <c r="M33" s="1"/>
      <c r="N33" s="1"/>
      <c r="O33" s="1"/>
      <c r="P33" s="1"/>
    </row>
    <row r="34" spans="1:16" ht="22.05" customHeight="1">
      <c r="A34" s="1"/>
      <c r="B34" s="1"/>
      <c r="C34" s="1"/>
      <c r="D34" s="1"/>
      <c r="E34" s="1"/>
      <c r="F34" s="1"/>
      <c r="G34" s="1"/>
      <c r="H34" s="1"/>
      <c r="I34" s="1"/>
      <c r="J34" s="1"/>
      <c r="K34" s="1"/>
      <c r="L34" s="1"/>
      <c r="M34" s="1"/>
      <c r="N34" s="1"/>
      <c r="O34" s="1"/>
      <c r="P34" s="1"/>
    </row>
    <row r="35" spans="1:16" ht="22.05" customHeight="1">
      <c r="A35" s="1"/>
      <c r="B35" s="1"/>
      <c r="C35" s="1"/>
      <c r="D35" s="1"/>
      <c r="E35" s="1"/>
      <c r="F35" s="1"/>
      <c r="G35" s="1"/>
      <c r="H35" s="1"/>
      <c r="I35" s="1"/>
      <c r="J35" s="1"/>
      <c r="K35" s="1"/>
      <c r="L35" s="1"/>
      <c r="M35" s="1"/>
      <c r="N35" s="1"/>
      <c r="O35" s="1"/>
      <c r="P35" s="1"/>
    </row>
    <row r="36" spans="1:16" ht="22.05" customHeight="1">
      <c r="A36" s="1"/>
      <c r="B36" s="1"/>
      <c r="C36" s="1"/>
      <c r="D36" s="1"/>
      <c r="E36" s="1"/>
      <c r="F36" s="1"/>
      <c r="G36" s="1"/>
      <c r="H36" s="1"/>
      <c r="I36" s="1"/>
      <c r="J36" s="1"/>
      <c r="K36" s="1"/>
      <c r="L36" s="1"/>
      <c r="M36" s="1"/>
      <c r="N36" s="1"/>
      <c r="O36" s="1"/>
      <c r="P36" s="1"/>
    </row>
    <row r="37" spans="1:16" ht="22.05" customHeight="1">
      <c r="A37" s="1"/>
      <c r="B37" s="1"/>
      <c r="C37" s="1"/>
      <c r="D37" s="1"/>
      <c r="E37" s="1"/>
      <c r="F37" s="1"/>
      <c r="G37" s="1"/>
      <c r="H37" s="1"/>
      <c r="I37" s="1"/>
      <c r="J37" s="1"/>
      <c r="K37" s="1"/>
      <c r="L37" s="1"/>
      <c r="M37" s="1"/>
      <c r="N37" s="1"/>
      <c r="O37" s="1"/>
      <c r="P37" s="1"/>
    </row>
    <row r="38" spans="1:16" ht="22.05" customHeight="1">
      <c r="A38" s="1"/>
      <c r="B38" s="1"/>
      <c r="C38" s="1"/>
      <c r="D38" s="1"/>
      <c r="E38" s="1"/>
      <c r="F38" s="1"/>
      <c r="G38" s="1"/>
      <c r="H38" s="1"/>
      <c r="I38" s="1"/>
      <c r="J38" s="1"/>
      <c r="K38" s="1"/>
      <c r="L38" s="1"/>
      <c r="M38" s="1"/>
      <c r="N38" s="1"/>
      <c r="O38" s="1"/>
      <c r="P38" s="1"/>
    </row>
    <row r="39" spans="1:16" ht="22.05" customHeight="1">
      <c r="A39" s="1"/>
      <c r="B39" s="1"/>
      <c r="C39" s="1"/>
      <c r="D39" s="1"/>
      <c r="E39" s="1"/>
      <c r="F39" s="1"/>
      <c r="G39" s="1"/>
      <c r="H39" s="1"/>
      <c r="I39" s="1"/>
      <c r="J39" s="1"/>
      <c r="K39" s="1"/>
      <c r="L39" s="1"/>
      <c r="M39" s="1"/>
      <c r="N39" s="1"/>
      <c r="O39" s="1"/>
      <c r="P39" s="1"/>
    </row>
    <row r="40" spans="1:16" ht="22.05" customHeight="1">
      <c r="A40" s="1"/>
      <c r="B40" s="1"/>
      <c r="C40" s="1"/>
      <c r="D40" s="1"/>
      <c r="E40" s="1"/>
      <c r="F40" s="1"/>
      <c r="G40" s="1"/>
      <c r="H40" s="1"/>
      <c r="I40" s="1"/>
      <c r="J40" s="1"/>
      <c r="K40" s="1"/>
      <c r="L40" s="1"/>
      <c r="M40" s="1"/>
      <c r="N40" s="1"/>
      <c r="O40" s="1"/>
      <c r="P40" s="1"/>
    </row>
    <row r="41" spans="1:16" ht="22.05" customHeight="1">
      <c r="A41" s="1"/>
      <c r="B41" s="1"/>
      <c r="C41" s="1"/>
      <c r="D41" s="1"/>
      <c r="E41" s="1"/>
      <c r="F41" s="1"/>
      <c r="G41" s="1"/>
      <c r="H41" s="1"/>
      <c r="I41" s="1"/>
      <c r="J41" s="1"/>
      <c r="K41" s="1"/>
      <c r="L41" s="1"/>
      <c r="M41" s="1"/>
      <c r="N41" s="1"/>
      <c r="O41" s="1"/>
      <c r="P41" s="1"/>
    </row>
    <row r="42" spans="1:16" ht="22.05" customHeight="1">
      <c r="A42" s="1"/>
      <c r="B42" s="1"/>
      <c r="C42" s="1"/>
      <c r="D42" s="1"/>
      <c r="E42" s="1"/>
      <c r="F42" s="1"/>
      <c r="G42" s="1"/>
      <c r="H42" s="1"/>
      <c r="I42" s="1"/>
      <c r="J42" s="1"/>
      <c r="K42" s="1"/>
      <c r="L42" s="1"/>
      <c r="M42" s="1"/>
      <c r="N42" s="1"/>
      <c r="O42" s="1"/>
      <c r="P42" s="1"/>
    </row>
    <row r="43" spans="1:16" ht="22.05" customHeight="1">
      <c r="A43" s="1"/>
      <c r="B43" s="1"/>
      <c r="C43" s="1"/>
      <c r="D43" s="1"/>
      <c r="E43" s="1"/>
      <c r="F43" s="1"/>
      <c r="G43" s="1"/>
      <c r="H43" s="1"/>
      <c r="I43" s="1"/>
      <c r="J43" s="1"/>
      <c r="K43" s="1"/>
      <c r="L43" s="1"/>
      <c r="M43" s="1"/>
      <c r="N43" s="1"/>
      <c r="O43" s="1"/>
      <c r="P43" s="1"/>
    </row>
    <row r="44" spans="1:16" ht="22.05" customHeight="1">
      <c r="A44" s="1"/>
      <c r="B44" s="1"/>
      <c r="C44" s="1"/>
      <c r="D44" s="1"/>
      <c r="E44" s="1"/>
      <c r="F44" s="1"/>
      <c r="G44" s="1"/>
      <c r="H44" s="1"/>
      <c r="I44" s="1"/>
      <c r="J44" s="1"/>
      <c r="K44" s="1"/>
      <c r="L44" s="1"/>
      <c r="M44" s="1"/>
      <c r="N44" s="1"/>
      <c r="O44" s="1"/>
      <c r="P44" s="1"/>
    </row>
    <row r="45" spans="1:16" ht="22.05" customHeight="1">
      <c r="A45" s="1"/>
      <c r="B45" s="1"/>
      <c r="C45" s="1"/>
      <c r="D45" s="1"/>
      <c r="E45" s="1"/>
      <c r="F45" s="1"/>
      <c r="G45" s="1"/>
      <c r="H45" s="1"/>
      <c r="I45" s="1"/>
      <c r="J45" s="1"/>
      <c r="K45" s="1"/>
      <c r="L45" s="1"/>
      <c r="M45" s="1"/>
      <c r="N45" s="1"/>
      <c r="O45" s="1"/>
      <c r="P45" s="1"/>
    </row>
    <row r="46" spans="1:16" ht="22.05" customHeight="1">
      <c r="A46" s="1"/>
      <c r="B46" s="1"/>
      <c r="C46" s="1"/>
      <c r="D46" s="1"/>
      <c r="E46" s="1"/>
      <c r="F46" s="1"/>
      <c r="G46" s="1"/>
      <c r="H46" s="1"/>
      <c r="I46" s="1"/>
      <c r="J46" s="1"/>
      <c r="K46" s="1"/>
      <c r="L46" s="1"/>
      <c r="M46" s="1"/>
      <c r="N46" s="1"/>
      <c r="O46" s="1"/>
      <c r="P46" s="1"/>
    </row>
    <row r="47" spans="1:16" ht="22.05" customHeight="1">
      <c r="A47" s="1"/>
      <c r="B47" s="1"/>
      <c r="C47" s="1"/>
      <c r="D47" s="1"/>
      <c r="E47" s="1"/>
      <c r="F47" s="1"/>
      <c r="G47" s="1"/>
      <c r="H47" s="1"/>
      <c r="I47" s="1"/>
      <c r="J47" s="1"/>
      <c r="K47" s="1"/>
      <c r="L47" s="1"/>
      <c r="M47" s="1"/>
      <c r="N47" s="1"/>
      <c r="O47" s="1"/>
      <c r="P47" s="1"/>
    </row>
    <row r="48" spans="1:16" ht="22.05" customHeight="1">
      <c r="A48" s="1"/>
      <c r="B48" s="1"/>
      <c r="C48" s="1"/>
      <c r="D48" s="1"/>
      <c r="E48" s="1"/>
      <c r="F48" s="1"/>
      <c r="G48" s="1"/>
      <c r="H48" s="1"/>
      <c r="I48" s="1"/>
      <c r="J48" s="1"/>
      <c r="K48" s="1"/>
      <c r="L48" s="1"/>
      <c r="M48" s="1"/>
      <c r="N48" s="1"/>
      <c r="O48" s="1"/>
      <c r="P48" s="1"/>
    </row>
    <row r="49" spans="1:16" ht="22.05" customHeight="1">
      <c r="A49" s="1"/>
      <c r="B49" s="1"/>
      <c r="C49" s="1"/>
      <c r="D49" s="1"/>
      <c r="E49" s="1"/>
      <c r="F49" s="1"/>
      <c r="G49" s="1"/>
      <c r="H49" s="1"/>
      <c r="I49" s="1"/>
      <c r="J49" s="1"/>
      <c r="K49" s="1"/>
      <c r="L49" s="1"/>
      <c r="M49" s="1"/>
      <c r="N49" s="1"/>
      <c r="O49" s="1"/>
      <c r="P49" s="1"/>
    </row>
    <row r="50" spans="1:16" ht="22.05" customHeight="1">
      <c r="A50" s="1"/>
      <c r="B50" s="1"/>
      <c r="C50" s="1"/>
      <c r="D50" s="1"/>
      <c r="E50" s="1"/>
      <c r="F50" s="1"/>
      <c r="G50" s="1"/>
      <c r="H50" s="1"/>
      <c r="I50" s="1"/>
      <c r="J50" s="1"/>
      <c r="K50" s="1"/>
      <c r="L50" s="1"/>
      <c r="M50" s="1"/>
      <c r="N50" s="1"/>
      <c r="O50" s="1"/>
      <c r="P50" s="1"/>
    </row>
  </sheetData>
  <mergeCells count="1">
    <mergeCell ref="A11:F18"/>
  </mergeCells>
  <conditionalFormatting sqref="A5:F8">
    <cfRule type="expression" dxfId="1" priority="1">
      <formula>$A5=1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zoomScale="64" workbookViewId="0">
      <pane ySplit="13" topLeftCell="A14" activePane="bottomLeft" state="frozen"/>
      <selection pane="bottomLeft" sqref="A1:XFD1"/>
    </sheetView>
  </sheetViews>
  <sheetFormatPr defaultRowHeight="17.399999999999999"/>
  <cols>
    <col min="1" max="11" width="14" style="6" customWidth="1"/>
    <col min="12" max="12" width="32" style="6" customWidth="1"/>
    <col min="13" max="16" width="14" style="6" customWidth="1"/>
    <col min="17" max="16384" width="8.796875" style="6"/>
  </cols>
  <sheetData>
    <row r="1" spans="1:16" s="15" customFormat="1" ht="22.05" customHeight="1">
      <c r="A1" s="3" t="s">
        <v>8</v>
      </c>
      <c r="B1" s="14"/>
      <c r="C1" s="14"/>
      <c r="D1" s="14"/>
      <c r="E1" s="14"/>
      <c r="F1" s="14"/>
      <c r="G1" s="14"/>
      <c r="H1" s="14"/>
      <c r="I1" s="14"/>
      <c r="J1" s="14"/>
      <c r="K1" s="14"/>
      <c r="L1" s="14"/>
      <c r="M1" s="14"/>
      <c r="N1" s="14"/>
      <c r="O1" s="14"/>
      <c r="P1" s="14"/>
    </row>
    <row r="2" spans="1:16" ht="22.05" customHeight="1">
      <c r="A2" s="5" t="s">
        <v>9</v>
      </c>
      <c r="B2" s="5"/>
      <c r="C2" s="5">
        <v>9</v>
      </c>
      <c r="D2" s="5"/>
      <c r="E2" s="5"/>
      <c r="F2" s="5"/>
      <c r="G2" s="5"/>
      <c r="H2" s="5"/>
      <c r="I2" s="5"/>
      <c r="J2" s="5"/>
      <c r="K2" s="5"/>
      <c r="L2" s="5"/>
      <c r="M2" s="5"/>
      <c r="N2" s="5"/>
      <c r="O2" s="5"/>
      <c r="P2" s="5"/>
    </row>
    <row r="3" spans="1:16" ht="22.05" customHeight="1">
      <c r="A3" s="5"/>
      <c r="B3" s="5"/>
      <c r="C3" s="5"/>
      <c r="D3" s="5"/>
      <c r="E3" s="5"/>
      <c r="F3" s="5"/>
      <c r="G3" s="5"/>
      <c r="H3" s="5"/>
      <c r="I3" s="5"/>
      <c r="J3" s="5"/>
      <c r="K3" s="5"/>
      <c r="L3" s="5"/>
      <c r="M3" s="5"/>
      <c r="N3" s="5"/>
      <c r="O3" s="5"/>
      <c r="P3" s="5"/>
    </row>
    <row r="4" spans="1:16" ht="40.049999999999997" customHeight="1">
      <c r="A4" s="7" t="s">
        <v>10</v>
      </c>
      <c r="B4" s="7" t="s">
        <v>11</v>
      </c>
      <c r="C4" s="7" t="s">
        <v>12</v>
      </c>
      <c r="D4" s="7" t="s">
        <v>13</v>
      </c>
      <c r="E4" s="7" t="s">
        <v>14</v>
      </c>
      <c r="F4" s="7" t="s">
        <v>15</v>
      </c>
      <c r="G4" s="7" t="s">
        <v>16</v>
      </c>
      <c r="H4" s="7" t="s">
        <v>17</v>
      </c>
      <c r="I4" s="7" t="s">
        <v>18</v>
      </c>
      <c r="J4" s="7" t="s">
        <v>19</v>
      </c>
      <c r="K4" s="7" t="s">
        <v>20</v>
      </c>
      <c r="L4" s="7" t="s">
        <v>21</v>
      </c>
      <c r="M4" s="5"/>
      <c r="N4" s="5"/>
      <c r="O4" s="5"/>
      <c r="P4" s="5"/>
    </row>
    <row r="5" spans="1:16" ht="30" customHeight="1">
      <c r="A5" s="5" t="s">
        <v>22</v>
      </c>
      <c r="B5" s="5" t="s">
        <v>23</v>
      </c>
      <c r="C5" s="13">
        <f>IFERROR(IF(AND(COUNT(Ответы!D4:F4)=3,MIN(Ответы!D4:F4)&gt;=1,MAX(Ответы!D4:F4)&lt;=9,MOD(Ответы!D4,1)=0,MOD(Ответы!E4,1)=0,MOD(Ответы!F4,1)=0),MIN(Ответы!D4:F4),NA()),NA())</f>
        <v>8</v>
      </c>
      <c r="D5" s="13">
        <f>IFERROR(IF(AND(COUNT(Ответы!D4:F4)=3,MIN(Ответы!D4:F4)&gt;=1,MAX(Ответы!D4:F4)&lt;=9,MOD(Ответы!D4,1)=0,MOD(Ответы!E4,1)=0,MOD(Ответы!F4,1)=0),MEDIAN(Ответы!D4:F4),NA()),NA())</f>
        <v>9</v>
      </c>
      <c r="E5" s="13">
        <f>IFERROR(IF(AND(COUNT(Ответы!D4:F4)=3,MIN(Ответы!D4:F4)&gt;=1,MAX(Ответы!D4:F4)&lt;=9,MOD(Ответы!D4,1)=0,MOD(Ответы!E4,1)=0,MOD(Ответы!F4,1)=0),MAX(Ответы!D4:F4),NA()),NA())</f>
        <v>9</v>
      </c>
      <c r="F5" s="9">
        <f t="shared" ref="F5:H10" si="0">C5/$C$2</f>
        <v>0.88888888888888884</v>
      </c>
      <c r="G5" s="9">
        <f t="shared" si="0"/>
        <v>1</v>
      </c>
      <c r="H5" s="9">
        <f t="shared" si="0"/>
        <v>1</v>
      </c>
      <c r="I5" s="9">
        <f>MAX(F14,F20,F26,F32)</f>
        <v>9</v>
      </c>
      <c r="J5" s="9">
        <f t="shared" ref="J5:J10" si="1">MAX(L14,L20,L26,L32)</f>
        <v>1</v>
      </c>
      <c r="K5" s="9">
        <f t="shared" ref="K5:K10" si="2">MIN(J14,J20,J26,J32)</f>
        <v>0.49382716049382713</v>
      </c>
      <c r="L5" s="8" t="s">
        <v>24</v>
      </c>
      <c r="M5" s="5"/>
      <c r="N5" s="5"/>
      <c r="O5" s="5"/>
      <c r="P5" s="5"/>
    </row>
    <row r="6" spans="1:16" ht="30" customHeight="1">
      <c r="A6" s="5" t="s">
        <v>25</v>
      </c>
      <c r="B6" s="5" t="s">
        <v>23</v>
      </c>
      <c r="C6" s="13">
        <f>IFERROR(IF(AND(COUNT(Ответы!D5:F5)=3,MIN(Ответы!D5:F5)&gt;=1,MAX(Ответы!D5:F5)&lt;=9,MOD(Ответы!D5,1)=0,MOD(Ответы!E5,1)=0,MOD(Ответы!F5,1)=0),MIN(Ответы!D5:F5),NA()),NA())</f>
        <v>8</v>
      </c>
      <c r="D6" s="13">
        <f>IFERROR(IF(AND(COUNT(Ответы!D5:F5)=3,MIN(Ответы!D5:F5)&gt;=1,MAX(Ответы!D5:F5)&lt;=9,MOD(Ответы!D5,1)=0,MOD(Ответы!E5,1)=0,MOD(Ответы!F5,1)=0),MEDIAN(Ответы!D5:F5),NA()),NA())</f>
        <v>8</v>
      </c>
      <c r="E6" s="13">
        <f>IFERROR(IF(AND(COUNT(Ответы!D5:F5)=3,MIN(Ответы!D5:F5)&gt;=1,MAX(Ответы!D5:F5)&lt;=9,MOD(Ответы!D5,1)=0,MOD(Ответы!E5,1)=0,MOD(Ответы!F5,1)=0),MAX(Ответы!D5:F5),NA()),NA())</f>
        <v>9</v>
      </c>
      <c r="F6" s="9">
        <f t="shared" si="0"/>
        <v>0.88888888888888884</v>
      </c>
      <c r="G6" s="9">
        <f t="shared" si="0"/>
        <v>0.88888888888888884</v>
      </c>
      <c r="H6" s="9">
        <f t="shared" si="0"/>
        <v>1</v>
      </c>
      <c r="I6" s="9">
        <f>MAX(F15,F21,F27,F33)</f>
        <v>9</v>
      </c>
      <c r="J6" s="9">
        <f t="shared" si="1"/>
        <v>1</v>
      </c>
      <c r="K6" s="9">
        <f t="shared" si="2"/>
        <v>0.49382716049382713</v>
      </c>
      <c r="L6" s="8" t="s">
        <v>26</v>
      </c>
      <c r="M6" s="5"/>
      <c r="N6" s="5"/>
      <c r="O6" s="5"/>
      <c r="P6" s="5"/>
    </row>
    <row r="7" spans="1:16" ht="30" customHeight="1">
      <c r="A7" s="5" t="s">
        <v>27</v>
      </c>
      <c r="B7" s="5" t="s">
        <v>23</v>
      </c>
      <c r="C7" s="13">
        <f>IFERROR(IF(AND(COUNT(Ответы!D6:F6)=3,MIN(Ответы!D6:F6)&gt;=1,MAX(Ответы!D6:F6)&lt;=9,MOD(Ответы!D6,1)=0,MOD(Ответы!E6,1)=0,MOD(Ответы!F6,1)=0),MIN(Ответы!D6:F6),NA()),NA())</f>
        <v>6</v>
      </c>
      <c r="D7" s="13">
        <f>IFERROR(IF(AND(COUNT(Ответы!D6:F6)=3,MIN(Ответы!D6:F6)&gt;=1,MAX(Ответы!D6:F6)&lt;=9,MOD(Ответы!D6,1)=0,MOD(Ответы!E6,1)=0,MOD(Ответы!F6,1)=0),MEDIAN(Ответы!D6:F6),NA()),NA())</f>
        <v>6</v>
      </c>
      <c r="E7" s="13">
        <f>IFERROR(IF(AND(COUNT(Ответы!D6:F6)=3,MIN(Ответы!D6:F6)&gt;=1,MAX(Ответы!D6:F6)&lt;=9,MOD(Ответы!D6,1)=0,MOD(Ответы!E6,1)=0,MOD(Ответы!F6,1)=0),MAX(Ответы!D6:F6),NA()),NA())</f>
        <v>7</v>
      </c>
      <c r="F7" s="9">
        <f t="shared" si="0"/>
        <v>0.66666666666666663</v>
      </c>
      <c r="G7" s="9">
        <f t="shared" si="0"/>
        <v>0.66666666666666663</v>
      </c>
      <c r="H7" s="9">
        <f t="shared" si="0"/>
        <v>0.77777777777777779</v>
      </c>
      <c r="I7" s="9">
        <f>MAX(F16,F22,F28,F34)</f>
        <v>9</v>
      </c>
      <c r="J7" s="9">
        <f t="shared" si="1"/>
        <v>0.77777777777777779</v>
      </c>
      <c r="K7" s="9">
        <f t="shared" si="2"/>
        <v>0.44444444444444442</v>
      </c>
      <c r="L7" s="8" t="s">
        <v>28</v>
      </c>
      <c r="M7" s="5"/>
      <c r="N7" s="5"/>
      <c r="O7" s="5"/>
      <c r="P7" s="5"/>
    </row>
    <row r="8" spans="1:16" ht="30" customHeight="1">
      <c r="A8" s="5" t="s">
        <v>29</v>
      </c>
      <c r="B8" s="5" t="s">
        <v>23</v>
      </c>
      <c r="C8" s="13">
        <f>IFERROR(IF(AND(COUNT(Ответы!D7:F7)=3,MIN(Ответы!D7:F7)&gt;=1,MAX(Ответы!D7:F7)&lt;=9,MOD(Ответы!D7,1)=0,MOD(Ответы!E7,1)=0,MOD(Ответы!F7,1)=0),MIN(Ответы!D7:F7),NA()),NA())</f>
        <v>8</v>
      </c>
      <c r="D8" s="13">
        <f>IFERROR(IF(AND(COUNT(Ответы!D7:F7)=3,MIN(Ответы!D7:F7)&gt;=1,MAX(Ответы!D7:F7)&lt;=9,MOD(Ответы!D7,1)=0,MOD(Ответы!E7,1)=0,MOD(Ответы!F7,1)=0),MEDIAN(Ответы!D7:F7),NA()),NA())</f>
        <v>9</v>
      </c>
      <c r="E8" s="13">
        <f>IFERROR(IF(AND(COUNT(Ответы!D7:F7)=3,MIN(Ответы!D7:F7)&gt;=1,MAX(Ответы!D7:F7)&lt;=9,MOD(Ответы!D7,1)=0,MOD(Ответы!E7,1)=0,MOD(Ответы!F7,1)=0),MAX(Ответы!D7:F7),NA()),NA())</f>
        <v>9</v>
      </c>
      <c r="F8" s="9">
        <f t="shared" si="0"/>
        <v>0.88888888888888884</v>
      </c>
      <c r="G8" s="9">
        <f t="shared" si="0"/>
        <v>1</v>
      </c>
      <c r="H8" s="9">
        <f t="shared" si="0"/>
        <v>1</v>
      </c>
      <c r="I8" s="9">
        <f>MAX(F17,F23,F29,F35)</f>
        <v>9</v>
      </c>
      <c r="J8" s="9">
        <f t="shared" si="1"/>
        <v>1</v>
      </c>
      <c r="K8" s="9">
        <f t="shared" si="2"/>
        <v>0.29629629629629628</v>
      </c>
      <c r="L8" s="8" t="s">
        <v>30</v>
      </c>
      <c r="M8" s="5"/>
      <c r="N8" s="5"/>
      <c r="O8" s="5"/>
      <c r="P8" s="5"/>
    </row>
    <row r="9" spans="1:16" ht="30" customHeight="1">
      <c r="A9" s="5" t="s">
        <v>31</v>
      </c>
      <c r="B9" s="5" t="s">
        <v>32</v>
      </c>
      <c r="C9" s="13">
        <f>IFERROR(IF(AND(COUNT(Ответы!D8:F8)=3,MIN(Ответы!D8:F8)&gt;=1,MAX(Ответы!D8:F8)&lt;=9,MOD(Ответы!D8,1)=0,MOD(Ответы!E8,1)=0,MOD(Ответы!F8,1)=0),MIN(Ответы!D8:F8),NA()),NA())</f>
        <v>6</v>
      </c>
      <c r="D9" s="13">
        <f>IFERROR(IF(AND(COUNT(Ответы!D8:F8)=3,MIN(Ответы!D8:F8)&gt;=1,MAX(Ответы!D8:F8)&lt;=9,MOD(Ответы!D8,1)=0,MOD(Ответы!E8,1)=0,MOD(Ответы!F8,1)=0),MEDIAN(Ответы!D8:F8),NA()),NA())</f>
        <v>7</v>
      </c>
      <c r="E9" s="13">
        <f>IFERROR(IF(AND(COUNT(Ответы!D8:F8)=3,MIN(Ответы!D8:F8)&gt;=1,MAX(Ответы!D8:F8)&lt;=9,MOD(Ответы!D8,1)=0,MOD(Ответы!E8,1)=0,MOD(Ответы!F8,1)=0),MAX(Ответы!D8:F8),NA()),NA())</f>
        <v>8</v>
      </c>
      <c r="F9" s="9">
        <f t="shared" si="0"/>
        <v>0.66666666666666663</v>
      </c>
      <c r="G9" s="9">
        <f t="shared" si="0"/>
        <v>0.77777777777777779</v>
      </c>
      <c r="H9" s="9">
        <f t="shared" si="0"/>
        <v>0.88888888888888884</v>
      </c>
      <c r="I9" s="9">
        <f>MIN(D18,D24,D30,D36)</f>
        <v>3</v>
      </c>
      <c r="J9" s="9">
        <f t="shared" si="1"/>
        <v>0.88888888888888884</v>
      </c>
      <c r="K9" s="9">
        <f t="shared" si="2"/>
        <v>0.25</v>
      </c>
      <c r="L9" s="8" t="s">
        <v>33</v>
      </c>
      <c r="M9" s="5"/>
      <c r="N9" s="5"/>
      <c r="O9" s="5"/>
      <c r="P9" s="5"/>
    </row>
    <row r="10" spans="1:16" ht="30" customHeight="1">
      <c r="A10" s="5" t="s">
        <v>34</v>
      </c>
      <c r="B10" s="5" t="s">
        <v>32</v>
      </c>
      <c r="C10" s="13">
        <f>IFERROR(IF(AND(COUNT(Ответы!D9:F9)=3,MIN(Ответы!D9:F9)&gt;=1,MAX(Ответы!D9:F9)&lt;=9,MOD(Ответы!D9,1)=0,MOD(Ответы!E9,1)=0,MOD(Ответы!F9,1)=0),MIN(Ответы!D9:F9),NA()),NA())</f>
        <v>7</v>
      </c>
      <c r="D10" s="13">
        <f>IFERROR(IF(AND(COUNT(Ответы!D9:F9)=3,MIN(Ответы!D9:F9)&gt;=1,MAX(Ответы!D9:F9)&lt;=9,MOD(Ответы!D9,1)=0,MOD(Ответы!E9,1)=0,MOD(Ответы!F9,1)=0),MEDIAN(Ответы!D9:F9),NA()),NA())</f>
        <v>7</v>
      </c>
      <c r="E10" s="13">
        <f>IFERROR(IF(AND(COUNT(Ответы!D9:F9)=3,MIN(Ответы!D9:F9)&gt;=1,MAX(Ответы!D9:F9)&lt;=9,MOD(Ответы!D9,1)=0,MOD(Ответы!E9,1)=0,MOD(Ответы!F9,1)=0),MAX(Ответы!D9:F9),NA()),NA())</f>
        <v>8</v>
      </c>
      <c r="F10" s="9">
        <f t="shared" si="0"/>
        <v>0.77777777777777779</v>
      </c>
      <c r="G10" s="9">
        <f t="shared" si="0"/>
        <v>0.77777777777777779</v>
      </c>
      <c r="H10" s="9">
        <f t="shared" si="0"/>
        <v>0.88888888888888884</v>
      </c>
      <c r="I10" s="9">
        <f>MIN(D19,D25,D31,D37)</f>
        <v>3</v>
      </c>
      <c r="J10" s="9">
        <f t="shared" si="1"/>
        <v>0.88888888888888884</v>
      </c>
      <c r="K10" s="9">
        <f t="shared" si="2"/>
        <v>0.25925925925925924</v>
      </c>
      <c r="L10" s="8" t="s">
        <v>35</v>
      </c>
      <c r="M10" s="5"/>
      <c r="N10" s="5"/>
      <c r="O10" s="5"/>
      <c r="P10" s="5"/>
    </row>
    <row r="11" spans="1:16" ht="22.05" customHeight="1">
      <c r="A11" s="5"/>
      <c r="B11" s="5"/>
      <c r="C11" s="5"/>
      <c r="D11" s="5"/>
      <c r="E11" s="5"/>
      <c r="F11" s="5"/>
      <c r="G11" s="5"/>
      <c r="H11" s="5"/>
      <c r="I11" s="5"/>
      <c r="J11" s="5"/>
      <c r="K11" s="5"/>
      <c r="L11" s="5"/>
      <c r="M11" s="5"/>
      <c r="N11" s="5"/>
      <c r="O11" s="5"/>
      <c r="P11" s="5"/>
    </row>
    <row r="12" spans="1:16" ht="22.05" customHeight="1">
      <c r="A12" s="5"/>
      <c r="B12" s="5"/>
      <c r="C12" s="5"/>
      <c r="D12" s="5"/>
      <c r="E12" s="5"/>
      <c r="F12" s="5"/>
      <c r="G12" s="5"/>
      <c r="H12" s="5"/>
      <c r="I12" s="5"/>
      <c r="J12" s="5"/>
      <c r="K12" s="5"/>
      <c r="L12" s="5"/>
      <c r="M12" s="5"/>
      <c r="N12" s="5"/>
      <c r="O12" s="5"/>
      <c r="P12" s="5"/>
    </row>
    <row r="13" spans="1:16" ht="31.95" customHeight="1">
      <c r="A13" s="7" t="s">
        <v>3</v>
      </c>
      <c r="B13" s="7" t="s">
        <v>10</v>
      </c>
      <c r="C13" s="7" t="s">
        <v>36</v>
      </c>
      <c r="D13" s="7" t="s">
        <v>37</v>
      </c>
      <c r="E13" s="7" t="s">
        <v>38</v>
      </c>
      <c r="F13" s="7" t="s">
        <v>39</v>
      </c>
      <c r="G13" s="7" t="s">
        <v>40</v>
      </c>
      <c r="H13" s="7" t="s">
        <v>41</v>
      </c>
      <c r="I13" s="7" t="s">
        <v>42</v>
      </c>
      <c r="J13" s="7" t="s">
        <v>43</v>
      </c>
      <c r="K13" s="7" t="s">
        <v>44</v>
      </c>
      <c r="L13" s="7" t="s">
        <v>45</v>
      </c>
      <c r="M13" s="7" t="s">
        <v>19</v>
      </c>
      <c r="N13" s="7" t="s">
        <v>20</v>
      </c>
      <c r="O13" s="7" t="s">
        <v>46</v>
      </c>
      <c r="P13" s="7" t="s">
        <v>47</v>
      </c>
    </row>
    <row r="14" spans="1:16" ht="22.05" customHeight="1">
      <c r="A14" s="5" t="s">
        <v>48</v>
      </c>
      <c r="B14" s="5" t="s">
        <v>22</v>
      </c>
      <c r="C14" s="5" t="str">
        <f t="shared" ref="C14:C19" si="3">B5</f>
        <v>max</v>
      </c>
      <c r="D14" s="13">
        <f>IFERROR(IF(AND(COUNT(Ответы!D10:F10)=3,MIN(Ответы!D10:F10)&gt;=1,MAX(Ответы!D10:F10)&lt;=9,MOD(Ответы!D10,1)=0,MOD(Ответы!E10,1)=0,MOD(Ответы!F10,1)=0),MIN(Ответы!D10:F10),NA()),NA())</f>
        <v>5</v>
      </c>
      <c r="E14" s="13">
        <f>IFERROR(IF(AND(COUNT(Ответы!D10:F10)=3,MIN(Ответы!D10:F10)&gt;=1,MAX(Ответы!D10:F10)&lt;=9,MOD(Ответы!D10,1)=0,MOD(Ответы!E10,1)=0,MOD(Ответы!F10,1)=0),MEDIAN(Ответы!D10:F10),NA()),NA())</f>
        <v>6</v>
      </c>
      <c r="F14" s="13">
        <f>IFERROR(IF(AND(COUNT(Ответы!D10:F10)=3,MIN(Ответы!D10:F10)&gt;=1,MAX(Ответы!D10:F10)&lt;=9,MOD(Ответы!D10,1)=0,MOD(Ответы!E10,1)=0,MOD(Ответы!F10,1)=0),MAX(Ответы!D10:F10),NA()),NA())</f>
        <v>6</v>
      </c>
      <c r="G14" s="9">
        <f>IF(C14="max",D14/$I$5,$I$5/F14)</f>
        <v>0.55555555555555558</v>
      </c>
      <c r="H14" s="9">
        <f>IF(C14="max",E14/$I$5,$I$5/E14)</f>
        <v>0.66666666666666663</v>
      </c>
      <c r="I14" s="9">
        <f>IF(C14="max",F14/$I$5,$I$5/D14)</f>
        <v>0.66666666666666663</v>
      </c>
      <c r="J14" s="9">
        <f>G14*$F$5</f>
        <v>0.49382716049382713</v>
      </c>
      <c r="K14" s="9">
        <f>H14*$G$5</f>
        <v>0.66666666666666663</v>
      </c>
      <c r="L14" s="9">
        <f>I14*$H$5</f>
        <v>0.66666666666666663</v>
      </c>
      <c r="M14" s="9">
        <f>$J$5</f>
        <v>1</v>
      </c>
      <c r="N14" s="9">
        <f>$K$5</f>
        <v>0.49382716049382713</v>
      </c>
      <c r="O14" s="9">
        <f t="shared" ref="O14:O37" si="4">SQRT(((J14-M14)^2+(K14-M14)^2+(L14-M14)^2)/3)</f>
        <v>0.39934661873113192</v>
      </c>
      <c r="P14" s="9">
        <f t="shared" ref="P14:P37" si="5">SQRT(((J14-N14)^2+(K14-N14)^2+(L14-N14)^2)/3)</f>
        <v>0.14112286583936004</v>
      </c>
    </row>
    <row r="15" spans="1:16" ht="22.05" customHeight="1">
      <c r="A15" s="5" t="s">
        <v>48</v>
      </c>
      <c r="B15" s="5" t="s">
        <v>25</v>
      </c>
      <c r="C15" s="5" t="str">
        <f t="shared" si="3"/>
        <v>max</v>
      </c>
      <c r="D15" s="13">
        <f>IFERROR(IF(AND(COUNT(Ответы!D11:F11)=3,MIN(Ответы!D11:F11)&gt;=1,MAX(Ответы!D11:F11)&lt;=9,MOD(Ответы!D11,1)=0,MOD(Ответы!E11,1)=0,MOD(Ответы!F11,1)=0),MIN(Ответы!D11:F11),NA()),NA())</f>
        <v>5</v>
      </c>
      <c r="E15" s="13">
        <f>IFERROR(IF(AND(COUNT(Ответы!D11:F11)=3,MIN(Ответы!D11:F11)&gt;=1,MAX(Ответы!D11:F11)&lt;=9,MOD(Ответы!D11,1)=0,MOD(Ответы!E11,1)=0,MOD(Ответы!F11,1)=0),MEDIAN(Ответы!D11:F11),NA()),NA())</f>
        <v>6</v>
      </c>
      <c r="F15" s="13">
        <f>IFERROR(IF(AND(COUNT(Ответы!D11:F11)=3,MIN(Ответы!D11:F11)&gt;=1,MAX(Ответы!D11:F11)&lt;=9,MOD(Ответы!D11,1)=0,MOD(Ответы!E11,1)=0,MOD(Ответы!F11,1)=0),MAX(Ответы!D11:F11),NA()),NA())</f>
        <v>8</v>
      </c>
      <c r="G15" s="9">
        <f>IF(C15="max",D15/$I$6,$I$6/F15)</f>
        <v>0.55555555555555558</v>
      </c>
      <c r="H15" s="9">
        <f>IF(C15="max",E15/$I$6,$I$6/E15)</f>
        <v>0.66666666666666663</v>
      </c>
      <c r="I15" s="9">
        <f>IF(C15="max",F15/$I$6,$I$6/D15)</f>
        <v>0.88888888888888884</v>
      </c>
      <c r="J15" s="9">
        <f>G15*$F$6</f>
        <v>0.49382716049382713</v>
      </c>
      <c r="K15" s="9">
        <f>H15*$G$6</f>
        <v>0.59259259259259256</v>
      </c>
      <c r="L15" s="9">
        <f>I15*$H$6</f>
        <v>0.88888888888888884</v>
      </c>
      <c r="M15" s="9">
        <f>$J$6</f>
        <v>1</v>
      </c>
      <c r="N15" s="9">
        <f>$K$6</f>
        <v>0.49382716049382713</v>
      </c>
      <c r="O15" s="9">
        <f t="shared" si="4"/>
        <v>0.38058613483087406</v>
      </c>
      <c r="P15" s="9">
        <f t="shared" si="5"/>
        <v>0.23510875484914731</v>
      </c>
    </row>
    <row r="16" spans="1:16" ht="22.05" customHeight="1">
      <c r="A16" s="5" t="s">
        <v>48</v>
      </c>
      <c r="B16" s="5" t="s">
        <v>27</v>
      </c>
      <c r="C16" s="5" t="str">
        <f t="shared" si="3"/>
        <v>max</v>
      </c>
      <c r="D16" s="13">
        <f>IFERROR(IF(AND(COUNT(Ответы!D12:F12)=3,MIN(Ответы!D12:F12)&gt;=1,MAX(Ответы!D12:F12)&lt;=9,MOD(Ответы!D12,1)=0,MOD(Ответы!E12,1)=0,MOD(Ответы!F12,1)=0),MIN(Ответы!D12:F12),NA()),NA())</f>
        <v>7</v>
      </c>
      <c r="E16" s="13">
        <f>IFERROR(IF(AND(COUNT(Ответы!D12:F12)=3,MIN(Ответы!D12:F12)&gt;=1,MAX(Ответы!D12:F12)&lt;=9,MOD(Ответы!D12,1)=0,MOD(Ответы!E12,1)=0,MOD(Ответы!F12,1)=0),MEDIAN(Ответы!D12:F12),NA()),NA())</f>
        <v>8</v>
      </c>
      <c r="F16" s="13">
        <f>IFERROR(IF(AND(COUNT(Ответы!D12:F12)=3,MIN(Ответы!D12:F12)&gt;=1,MAX(Ответы!D12:F12)&lt;=9,MOD(Ответы!D12,1)=0,MOD(Ответы!E12,1)=0,MOD(Ответы!F12,1)=0),MAX(Ответы!D12:F12),NA()),NA())</f>
        <v>8</v>
      </c>
      <c r="G16" s="9">
        <f>IF(C16="max",D16/$I$7,$I$7/F16)</f>
        <v>0.77777777777777779</v>
      </c>
      <c r="H16" s="9">
        <f>IF(C16="max",E16/$I$7,$I$7/E16)</f>
        <v>0.88888888888888884</v>
      </c>
      <c r="I16" s="9">
        <f>IF(C16="max",F16/$I$7,$I$7/D16)</f>
        <v>0.88888888888888884</v>
      </c>
      <c r="J16" s="9">
        <f>G16*$F$7</f>
        <v>0.51851851851851849</v>
      </c>
      <c r="K16" s="9">
        <f>H16*$G$7</f>
        <v>0.59259259259259256</v>
      </c>
      <c r="L16" s="9">
        <f>I16*$H$7</f>
        <v>0.69135802469135799</v>
      </c>
      <c r="M16" s="9">
        <f>$J$7</f>
        <v>0.77777777777777779</v>
      </c>
      <c r="N16" s="9">
        <f>$K$7</f>
        <v>0.44444444444444442</v>
      </c>
      <c r="O16" s="9">
        <f t="shared" si="4"/>
        <v>0.19059318809727427</v>
      </c>
      <c r="P16" s="9">
        <f t="shared" si="5"/>
        <v>0.17165970053180418</v>
      </c>
    </row>
    <row r="17" spans="1:16" ht="22.05" customHeight="1">
      <c r="A17" s="5" t="s">
        <v>48</v>
      </c>
      <c r="B17" s="5" t="s">
        <v>29</v>
      </c>
      <c r="C17" s="5" t="str">
        <f t="shared" si="3"/>
        <v>max</v>
      </c>
      <c r="D17" s="13">
        <f>IFERROR(IF(AND(COUNT(Ответы!D13:F13)=3,MIN(Ответы!D13:F13)&gt;=1,MAX(Ответы!D13:F13)&lt;=9,MOD(Ответы!D13,1)=0,MOD(Ответы!E13,1)=0,MOD(Ответы!F13,1)=0),MIN(Ответы!D13:F13),NA()),NA())</f>
        <v>3</v>
      </c>
      <c r="E17" s="13">
        <f>IFERROR(IF(AND(COUNT(Ответы!D13:F13)=3,MIN(Ответы!D13:F13)&gt;=1,MAX(Ответы!D13:F13)&lt;=9,MOD(Ответы!D13,1)=0,MOD(Ответы!E13,1)=0,MOD(Ответы!F13,1)=0),MEDIAN(Ответы!D13:F13),NA()),NA())</f>
        <v>4</v>
      </c>
      <c r="F17" s="13">
        <f>IFERROR(IF(AND(COUNT(Ответы!D13:F13)=3,MIN(Ответы!D13:F13)&gt;=1,MAX(Ответы!D13:F13)&lt;=9,MOD(Ответы!D13,1)=0,MOD(Ответы!E13,1)=0,MOD(Ответы!F13,1)=0),MAX(Ответы!D13:F13),NA()),NA())</f>
        <v>5</v>
      </c>
      <c r="G17" s="9">
        <f>IF(C17="max",D17/$I$8,$I$8/F17)</f>
        <v>0.33333333333333331</v>
      </c>
      <c r="H17" s="9">
        <f>IF(C17="max",E17/$I$8,$I$8/E17)</f>
        <v>0.44444444444444442</v>
      </c>
      <c r="I17" s="9">
        <f>IF(C17="max",F17/$I$8,$I$8/D17)</f>
        <v>0.55555555555555558</v>
      </c>
      <c r="J17" s="9">
        <f>G17*$F$8</f>
        <v>0.29629629629629628</v>
      </c>
      <c r="K17" s="9">
        <f>H17*$G$8</f>
        <v>0.44444444444444442</v>
      </c>
      <c r="L17" s="9">
        <f>I17*$H$8</f>
        <v>0.55555555555555558</v>
      </c>
      <c r="M17" s="9">
        <f>$J$8</f>
        <v>1</v>
      </c>
      <c r="N17" s="9">
        <f>$K$8</f>
        <v>0.29629629629629628</v>
      </c>
      <c r="O17" s="9">
        <f t="shared" si="4"/>
        <v>0.5777461213233378</v>
      </c>
      <c r="P17" s="9">
        <f t="shared" si="5"/>
        <v>0.17239802523171535</v>
      </c>
    </row>
    <row r="18" spans="1:16" ht="22.05" customHeight="1">
      <c r="A18" s="5" t="s">
        <v>48</v>
      </c>
      <c r="B18" s="5" t="s">
        <v>31</v>
      </c>
      <c r="C18" s="5" t="str">
        <f t="shared" si="3"/>
        <v>min</v>
      </c>
      <c r="D18" s="13">
        <f>IFERROR(IF(AND(COUNT(Ответы!D14:F14)=3,MIN(Ответы!D14:F14)&gt;=1,MAX(Ответы!D14:F14)&lt;=9,MOD(Ответы!D14,1)=0,MOD(Ответы!E14,1)=0,MOD(Ответы!F14,1)=0),MIN(Ответы!D14:F14),NA()),NA())</f>
        <v>4</v>
      </c>
      <c r="E18" s="13">
        <f>IFERROR(IF(AND(COUNT(Ответы!D14:F14)=3,MIN(Ответы!D14:F14)&gt;=1,MAX(Ответы!D14:F14)&lt;=9,MOD(Ответы!D14,1)=0,MOD(Ответы!E14,1)=0,MOD(Ответы!F14,1)=0),MEDIAN(Ответы!D14:F14),NA()),NA())</f>
        <v>4</v>
      </c>
      <c r="F18" s="13">
        <f>IFERROR(IF(AND(COUNT(Ответы!D14:F14)=3,MIN(Ответы!D14:F14)&gt;=1,MAX(Ответы!D14:F14)&lt;=9,MOD(Ответы!D14,1)=0,MOD(Ответы!E14,1)=0,MOD(Ответы!F14,1)=0),MAX(Ответы!D14:F14),NA()),NA())</f>
        <v>6</v>
      </c>
      <c r="G18" s="9">
        <f>IF(C18="max",D18/$I$9,$I$9/F18)</f>
        <v>0.5</v>
      </c>
      <c r="H18" s="9">
        <f>IF(C18="max",E18/$I$9,$I$9/E18)</f>
        <v>0.75</v>
      </c>
      <c r="I18" s="9">
        <f>IF(C18="max",F18/$I$9,$I$9/D18)</f>
        <v>0.75</v>
      </c>
      <c r="J18" s="9">
        <f>G18*$F$9</f>
        <v>0.33333333333333331</v>
      </c>
      <c r="K18" s="9">
        <f>H18*$G$9</f>
        <v>0.58333333333333337</v>
      </c>
      <c r="L18" s="9">
        <f>I18*$H$9</f>
        <v>0.66666666666666663</v>
      </c>
      <c r="M18" s="9">
        <f>$J$9</f>
        <v>0.88888888888888884</v>
      </c>
      <c r="N18" s="9">
        <f>$K$9</f>
        <v>0.25</v>
      </c>
      <c r="O18" s="9">
        <f t="shared" si="4"/>
        <v>0.38789555677135945</v>
      </c>
      <c r="P18" s="9">
        <f t="shared" si="5"/>
        <v>0.31180478223116176</v>
      </c>
    </row>
    <row r="19" spans="1:16" ht="22.05" customHeight="1">
      <c r="A19" s="5" t="s">
        <v>48</v>
      </c>
      <c r="B19" s="5" t="s">
        <v>34</v>
      </c>
      <c r="C19" s="5" t="str">
        <f t="shared" si="3"/>
        <v>min</v>
      </c>
      <c r="D19" s="13">
        <f>IFERROR(IF(AND(COUNT(Ответы!D15:F15)=3,MIN(Ответы!D15:F15)&gt;=1,MAX(Ответы!D15:F15)&lt;=9,MOD(Ответы!D15,1)=0,MOD(Ответы!E15,1)=0,MOD(Ответы!F15,1)=0),MIN(Ответы!D15:F15),NA()),NA())</f>
        <v>5</v>
      </c>
      <c r="E19" s="13">
        <f>IFERROR(IF(AND(COUNT(Ответы!D15:F15)=3,MIN(Ответы!D15:F15)&gt;=1,MAX(Ответы!D15:F15)&lt;=9,MOD(Ответы!D15,1)=0,MOD(Ответы!E15,1)=0,MOD(Ответы!F15,1)=0),MEDIAN(Ответы!D15:F15),NA()),NA())</f>
        <v>5</v>
      </c>
      <c r="F19" s="13">
        <f>IFERROR(IF(AND(COUNT(Ответы!D15:F15)=3,MIN(Ответы!D15:F15)&gt;=1,MAX(Ответы!D15:F15)&lt;=9,MOD(Ответы!D15,1)=0,MOD(Ответы!E15,1)=0,MOD(Ответы!F15,1)=0),MAX(Ответы!D15:F15),NA()),NA())</f>
        <v>6</v>
      </c>
      <c r="G19" s="9">
        <f>IF(C19="max",D19/$I$10,$I$10/F19)</f>
        <v>0.5</v>
      </c>
      <c r="H19" s="9">
        <f>IF(C19="max",E19/$I$10,$I$10/E19)</f>
        <v>0.6</v>
      </c>
      <c r="I19" s="9">
        <f>IF(C19="max",F19/$I$10,$I$10/D19)</f>
        <v>0.6</v>
      </c>
      <c r="J19" s="9">
        <f>G19*$F$10</f>
        <v>0.3888888888888889</v>
      </c>
      <c r="K19" s="9">
        <f>H19*$G$10</f>
        <v>0.46666666666666667</v>
      </c>
      <c r="L19" s="9">
        <f>I19*$H$10</f>
        <v>0.53333333333333333</v>
      </c>
      <c r="M19" s="9">
        <f>$J$10</f>
        <v>0.88888888888888884</v>
      </c>
      <c r="N19" s="9">
        <f>$K$10</f>
        <v>0.25925925925925924</v>
      </c>
      <c r="O19" s="9">
        <f t="shared" si="4"/>
        <v>0.42999665038412072</v>
      </c>
      <c r="P19" s="9">
        <f t="shared" si="5"/>
        <v>0.21208353040326533</v>
      </c>
    </row>
    <row r="20" spans="1:16" ht="22.05" customHeight="1">
      <c r="A20" s="5" t="s">
        <v>49</v>
      </c>
      <c r="B20" s="5" t="s">
        <v>22</v>
      </c>
      <c r="C20" s="5" t="str">
        <f t="shared" ref="C20:C25" si="6">B5</f>
        <v>max</v>
      </c>
      <c r="D20" s="13">
        <f>IFERROR(IF(AND(COUNT(Ответы!D16:F16)=3,MIN(Ответы!D16:F16)&gt;=1,MAX(Ответы!D16:F16)&lt;=9,MOD(Ответы!D16,1)=0,MOD(Ответы!E16,1)=0,MOD(Ответы!F16,1)=0),MIN(Ответы!D16:F16),NA()),NA())</f>
        <v>9</v>
      </c>
      <c r="E20" s="13">
        <f>IFERROR(IF(AND(COUNT(Ответы!D16:F16)=3,MIN(Ответы!D16:F16)&gt;=1,MAX(Ответы!D16:F16)&lt;=9,MOD(Ответы!D16,1)=0,MOD(Ответы!E16,1)=0,MOD(Ответы!F16,1)=0),MEDIAN(Ответы!D16:F16),NA()),NA())</f>
        <v>9</v>
      </c>
      <c r="F20" s="13">
        <f>IFERROR(IF(AND(COUNT(Ответы!D16:F16)=3,MIN(Ответы!D16:F16)&gt;=1,MAX(Ответы!D16:F16)&lt;=9,MOD(Ответы!D16,1)=0,MOD(Ответы!E16,1)=0,MOD(Ответы!F16,1)=0),MAX(Ответы!D16:F16),NA()),NA())</f>
        <v>9</v>
      </c>
      <c r="G20" s="9">
        <f>IF(C20="max",D20/$I$5,$I$5/F20)</f>
        <v>1</v>
      </c>
      <c r="H20" s="9">
        <f>IF(C20="max",E20/$I$5,$I$5/E20)</f>
        <v>1</v>
      </c>
      <c r="I20" s="9">
        <f>IF(C20="max",F20/$I$5,$I$5/D20)</f>
        <v>1</v>
      </c>
      <c r="J20" s="9">
        <f>G20*$F$5</f>
        <v>0.88888888888888884</v>
      </c>
      <c r="K20" s="9">
        <f>H20*$G$5</f>
        <v>1</v>
      </c>
      <c r="L20" s="9">
        <f>I20*$H$5</f>
        <v>1</v>
      </c>
      <c r="M20" s="9">
        <f>$J$5</f>
        <v>1</v>
      </c>
      <c r="N20" s="9">
        <f>$K$5</f>
        <v>0.49382716049382713</v>
      </c>
      <c r="O20" s="9">
        <f t="shared" si="4"/>
        <v>6.4150029909958453E-2</v>
      </c>
      <c r="P20" s="9">
        <f t="shared" si="5"/>
        <v>0.47205072331617681</v>
      </c>
    </row>
    <row r="21" spans="1:16" ht="22.05" customHeight="1">
      <c r="A21" s="5" t="s">
        <v>49</v>
      </c>
      <c r="B21" s="5" t="s">
        <v>25</v>
      </c>
      <c r="C21" s="5" t="str">
        <f t="shared" si="6"/>
        <v>max</v>
      </c>
      <c r="D21" s="13">
        <f>IFERROR(IF(AND(COUNT(Ответы!D17:F17)=3,MIN(Ответы!D17:F17)&gt;=1,MAX(Ответы!D17:F17)&lt;=9,MOD(Ответы!D17,1)=0,MOD(Ответы!E17,1)=0,MOD(Ответы!F17,1)=0),MIN(Ответы!D17:F17),NA()),NA())</f>
        <v>8</v>
      </c>
      <c r="E21" s="13">
        <f>IFERROR(IF(AND(COUNT(Ответы!D17:F17)=3,MIN(Ответы!D17:F17)&gt;=1,MAX(Ответы!D17:F17)&lt;=9,MOD(Ответы!D17,1)=0,MOD(Ответы!E17,1)=0,MOD(Ответы!F17,1)=0),MEDIAN(Ответы!D17:F17),NA()),NA())</f>
        <v>9</v>
      </c>
      <c r="F21" s="13">
        <f>IFERROR(IF(AND(COUNT(Ответы!D17:F17)=3,MIN(Ответы!D17:F17)&gt;=1,MAX(Ответы!D17:F17)&lt;=9,MOD(Ответы!D17,1)=0,MOD(Ответы!E17,1)=0,MOD(Ответы!F17,1)=0),MAX(Ответы!D17:F17),NA()),NA())</f>
        <v>9</v>
      </c>
      <c r="G21" s="9">
        <f>IF(C21="max",D21/$I$6,$I$6/F21)</f>
        <v>0.88888888888888884</v>
      </c>
      <c r="H21" s="9">
        <f>IF(C21="max",E21/$I$6,$I$6/E21)</f>
        <v>1</v>
      </c>
      <c r="I21" s="9">
        <f>IF(C21="max",F21/$I$6,$I$6/D21)</f>
        <v>1</v>
      </c>
      <c r="J21" s="9">
        <f>G21*$F$6</f>
        <v>0.79012345679012341</v>
      </c>
      <c r="K21" s="9">
        <f>H21*$G$6</f>
        <v>0.88888888888888884</v>
      </c>
      <c r="L21" s="9">
        <f>I21*$H$6</f>
        <v>1</v>
      </c>
      <c r="M21" s="9">
        <f>$J$6</f>
        <v>1</v>
      </c>
      <c r="N21" s="9">
        <f>$K$6</f>
        <v>0.49382716049382713</v>
      </c>
      <c r="O21" s="9">
        <f t="shared" si="4"/>
        <v>0.13710560698730606</v>
      </c>
      <c r="P21" s="9">
        <f t="shared" si="5"/>
        <v>0.40827940102138305</v>
      </c>
    </row>
    <row r="22" spans="1:16" ht="22.05" customHeight="1">
      <c r="A22" s="5" t="s">
        <v>49</v>
      </c>
      <c r="B22" s="5" t="s">
        <v>27</v>
      </c>
      <c r="C22" s="5" t="str">
        <f t="shared" si="6"/>
        <v>max</v>
      </c>
      <c r="D22" s="13">
        <f>IFERROR(IF(AND(COUNT(Ответы!D18:F18)=3,MIN(Ответы!D18:F18)&gt;=1,MAX(Ответы!D18:F18)&lt;=9,MOD(Ответы!D18,1)=0,MOD(Ответы!E18,1)=0,MOD(Ответы!F18,1)=0),MIN(Ответы!D18:F18),NA()),NA())</f>
        <v>6</v>
      </c>
      <c r="E22" s="13">
        <f>IFERROR(IF(AND(COUNT(Ответы!D18:F18)=3,MIN(Ответы!D18:F18)&gt;=1,MAX(Ответы!D18:F18)&lt;=9,MOD(Ответы!D18,1)=0,MOD(Ответы!E18,1)=0,MOD(Ответы!F18,1)=0),MEDIAN(Ответы!D18:F18),NA()),NA())</f>
        <v>7</v>
      </c>
      <c r="F22" s="13">
        <f>IFERROR(IF(AND(COUNT(Ответы!D18:F18)=3,MIN(Ответы!D18:F18)&gt;=1,MAX(Ответы!D18:F18)&lt;=9,MOD(Ответы!D18,1)=0,MOD(Ответы!E18,1)=0,MOD(Ответы!F18,1)=0),MAX(Ответы!D18:F18),NA()),NA())</f>
        <v>8</v>
      </c>
      <c r="G22" s="9">
        <f>IF(C22="max",D22/$I$7,$I$7/F22)</f>
        <v>0.66666666666666663</v>
      </c>
      <c r="H22" s="9">
        <f>IF(C22="max",E22/$I$7,$I$7/E22)</f>
        <v>0.77777777777777779</v>
      </c>
      <c r="I22" s="9">
        <f>IF(C22="max",F22/$I$7,$I$7/D22)</f>
        <v>0.88888888888888884</v>
      </c>
      <c r="J22" s="9">
        <f>G22*$F$7</f>
        <v>0.44444444444444442</v>
      </c>
      <c r="K22" s="9">
        <f>H22*$G$7</f>
        <v>0.51851851851851849</v>
      </c>
      <c r="L22" s="9">
        <f>I22*$H$7</f>
        <v>0.69135802469135799</v>
      </c>
      <c r="M22" s="9">
        <f>$J$7</f>
        <v>0.77777777777777779</v>
      </c>
      <c r="N22" s="9">
        <f>$K$7</f>
        <v>0.44444444444444442</v>
      </c>
      <c r="O22" s="9">
        <f t="shared" si="4"/>
        <v>0.24886063592989063</v>
      </c>
      <c r="P22" s="9">
        <f t="shared" si="5"/>
        <v>0.14883243884794339</v>
      </c>
    </row>
    <row r="23" spans="1:16" ht="22.05" customHeight="1">
      <c r="A23" s="5" t="s">
        <v>49</v>
      </c>
      <c r="B23" s="5" t="s">
        <v>29</v>
      </c>
      <c r="C23" s="5" t="str">
        <f t="shared" si="6"/>
        <v>max</v>
      </c>
      <c r="D23" s="13">
        <f>IFERROR(IF(AND(COUNT(Ответы!D19:F19)=3,MIN(Ответы!D19:F19)&gt;=1,MAX(Ответы!D19:F19)&lt;=9,MOD(Ответы!D19,1)=0,MOD(Ответы!E19,1)=0,MOD(Ответы!F19,1)=0),MIN(Ответы!D19:F19),NA()),NA())</f>
        <v>7</v>
      </c>
      <c r="E23" s="13">
        <f>IFERROR(IF(AND(COUNT(Ответы!D19:F19)=3,MIN(Ответы!D19:F19)&gt;=1,MAX(Ответы!D19:F19)&lt;=9,MOD(Ответы!D19,1)=0,MOD(Ответы!E19,1)=0,MOD(Ответы!F19,1)=0),MEDIAN(Ответы!D19:F19),NA()),NA())</f>
        <v>7</v>
      </c>
      <c r="F23" s="13">
        <f>IFERROR(IF(AND(COUNT(Ответы!D19:F19)=3,MIN(Ответы!D19:F19)&gt;=1,MAX(Ответы!D19:F19)&lt;=9,MOD(Ответы!D19,1)=0,MOD(Ответы!E19,1)=0,MOD(Ответы!F19,1)=0),MAX(Ответы!D19:F19),NA()),NA())</f>
        <v>9</v>
      </c>
      <c r="G23" s="9">
        <f>IF(C23="max",D23/$I$8,$I$8/F23)</f>
        <v>0.77777777777777779</v>
      </c>
      <c r="H23" s="9">
        <f>IF(C23="max",E23/$I$8,$I$8/E23)</f>
        <v>0.77777777777777779</v>
      </c>
      <c r="I23" s="9">
        <f>IF(C23="max",F23/$I$8,$I$8/D23)</f>
        <v>1</v>
      </c>
      <c r="J23" s="9">
        <f>G23*$F$8</f>
        <v>0.69135802469135799</v>
      </c>
      <c r="K23" s="9">
        <f>H23*$G$8</f>
        <v>0.77777777777777779</v>
      </c>
      <c r="L23" s="9">
        <f>I23*$H$8</f>
        <v>1</v>
      </c>
      <c r="M23" s="9">
        <f>$J$8</f>
        <v>1</v>
      </c>
      <c r="N23" s="9">
        <f>$K$8</f>
        <v>0.29629629629629628</v>
      </c>
      <c r="O23" s="9">
        <f t="shared" si="4"/>
        <v>0.21957730982640494</v>
      </c>
      <c r="P23" s="9">
        <f t="shared" si="5"/>
        <v>0.54255478643740229</v>
      </c>
    </row>
    <row r="24" spans="1:16" ht="22.05" customHeight="1">
      <c r="A24" s="5" t="s">
        <v>49</v>
      </c>
      <c r="B24" s="5" t="s">
        <v>31</v>
      </c>
      <c r="C24" s="5" t="str">
        <f t="shared" si="6"/>
        <v>min</v>
      </c>
      <c r="D24" s="13">
        <f>IFERROR(IF(AND(COUNT(Ответы!D20:F20)=3,MIN(Ответы!D20:F20)&gt;=1,MAX(Ответы!D20:F20)&lt;=9,MOD(Ответы!D20,1)=0,MOD(Ответы!E20,1)=0,MOD(Ответы!F20,1)=0),MIN(Ответы!D20:F20),NA()),NA())</f>
        <v>3</v>
      </c>
      <c r="E24" s="13">
        <f>IFERROR(IF(AND(COUNT(Ответы!D20:F20)=3,MIN(Ответы!D20:F20)&gt;=1,MAX(Ответы!D20:F20)&lt;=9,MOD(Ответы!D20,1)=0,MOD(Ответы!E20,1)=0,MOD(Ответы!F20,1)=0),MEDIAN(Ответы!D20:F20),NA()),NA())</f>
        <v>4</v>
      </c>
      <c r="F24" s="13">
        <f>IFERROR(IF(AND(COUNT(Ответы!D20:F20)=3,MIN(Ответы!D20:F20)&gt;=1,MAX(Ответы!D20:F20)&lt;=9,MOD(Ответы!D20,1)=0,MOD(Ответы!E20,1)=0,MOD(Ответы!F20,1)=0),MAX(Ответы!D20:F20),NA()),NA())</f>
        <v>4</v>
      </c>
      <c r="G24" s="9">
        <f>IF(C24="max",D24/$I$9,$I$9/F24)</f>
        <v>0.75</v>
      </c>
      <c r="H24" s="9">
        <f>IF(C24="max",E24/$I$9,$I$9/E24)</f>
        <v>0.75</v>
      </c>
      <c r="I24" s="9">
        <f>IF(C24="max",F24/$I$9,$I$9/D24)</f>
        <v>1</v>
      </c>
      <c r="J24" s="9">
        <f>G24*$F$9</f>
        <v>0.5</v>
      </c>
      <c r="K24" s="9">
        <f>H24*$G$9</f>
        <v>0.58333333333333337</v>
      </c>
      <c r="L24" s="9">
        <f>I24*$H$9</f>
        <v>0.88888888888888884</v>
      </c>
      <c r="M24" s="9">
        <f>$J$9</f>
        <v>0.88888888888888884</v>
      </c>
      <c r="N24" s="9">
        <f>$K$9</f>
        <v>0.25</v>
      </c>
      <c r="O24" s="9">
        <f t="shared" si="4"/>
        <v>0.28553970268720874</v>
      </c>
      <c r="P24" s="9">
        <f t="shared" si="5"/>
        <v>0.44037488705904126</v>
      </c>
    </row>
    <row r="25" spans="1:16" ht="22.05" customHeight="1">
      <c r="A25" s="5" t="s">
        <v>49</v>
      </c>
      <c r="B25" s="5" t="s">
        <v>34</v>
      </c>
      <c r="C25" s="5" t="str">
        <f t="shared" si="6"/>
        <v>min</v>
      </c>
      <c r="D25" s="13">
        <f>IFERROR(IF(AND(COUNT(Ответы!D21:F21)=3,MIN(Ответы!D21:F21)&gt;=1,MAX(Ответы!D21:F21)&lt;=9,MOD(Ответы!D21,1)=0,MOD(Ответы!E21,1)=0,MOD(Ответы!F21,1)=0),MIN(Ответы!D21:F21),NA()),NA())</f>
        <v>3</v>
      </c>
      <c r="E25" s="13">
        <f>IFERROR(IF(AND(COUNT(Ответы!D21:F21)=3,MIN(Ответы!D21:F21)&gt;=1,MAX(Ответы!D21:F21)&lt;=9,MOD(Ответы!D21,1)=0,MOD(Ответы!E21,1)=0,MOD(Ответы!F21,1)=0),MEDIAN(Ответы!D21:F21),NA()),NA())</f>
        <v>4</v>
      </c>
      <c r="F25" s="13">
        <f>IFERROR(IF(AND(COUNT(Ответы!D21:F21)=3,MIN(Ответы!D21:F21)&gt;=1,MAX(Ответы!D21:F21)&lt;=9,MOD(Ответы!D21,1)=0,MOD(Ответы!E21,1)=0,MOD(Ответы!F21,1)=0),MAX(Ответы!D21:F21),NA()),NA())</f>
        <v>4</v>
      </c>
      <c r="G25" s="9">
        <f>IF(C25="max",D25/$I$10,$I$10/F25)</f>
        <v>0.75</v>
      </c>
      <c r="H25" s="9">
        <f>IF(C25="max",E25/$I$10,$I$10/E25)</f>
        <v>0.75</v>
      </c>
      <c r="I25" s="9">
        <f>IF(C25="max",F25/$I$10,$I$10/D25)</f>
        <v>1</v>
      </c>
      <c r="J25" s="9">
        <f>G25*$F$10</f>
        <v>0.58333333333333337</v>
      </c>
      <c r="K25" s="9">
        <f>H25*$G$10</f>
        <v>0.58333333333333337</v>
      </c>
      <c r="L25" s="9">
        <f>I25*$H$10</f>
        <v>0.88888888888888884</v>
      </c>
      <c r="M25" s="9">
        <f>$J$10</f>
        <v>0.88888888888888884</v>
      </c>
      <c r="N25" s="9">
        <f>$K$10</f>
        <v>0.25925925925925924</v>
      </c>
      <c r="O25" s="9">
        <f t="shared" si="4"/>
        <v>0.24948506639458287</v>
      </c>
      <c r="P25" s="9">
        <f t="shared" si="5"/>
        <v>0.44962261267329567</v>
      </c>
    </row>
    <row r="26" spans="1:16" ht="22.05" customHeight="1">
      <c r="A26" s="5" t="s">
        <v>50</v>
      </c>
      <c r="B26" s="5" t="s">
        <v>22</v>
      </c>
      <c r="C26" s="5" t="str">
        <f t="shared" ref="C26:C31" si="7">B5</f>
        <v>max</v>
      </c>
      <c r="D26" s="13">
        <f>IFERROR(IF(AND(COUNT(Ответы!D22:F22)=3,MIN(Ответы!D22:F22)&gt;=1,MAX(Ответы!D22:F22)&lt;=9,MOD(Ответы!D22,1)=0,MOD(Ответы!E22,1)=0,MOD(Ответы!F22,1)=0),MIN(Ответы!D22:F22),NA()),NA())</f>
        <v>7</v>
      </c>
      <c r="E26" s="13">
        <f>IFERROR(IF(AND(COUNT(Ответы!D22:F22)=3,MIN(Ответы!D22:F22)&gt;=1,MAX(Ответы!D22:F22)&lt;=9,MOD(Ответы!D22,1)=0,MOD(Ответы!E22,1)=0,MOD(Ответы!F22,1)=0),MEDIAN(Ответы!D22:F22),NA()),NA())</f>
        <v>8</v>
      </c>
      <c r="F26" s="13">
        <f>IFERROR(IF(AND(COUNT(Ответы!D22:F22)=3,MIN(Ответы!D22:F22)&gt;=1,MAX(Ответы!D22:F22)&lt;=9,MOD(Ответы!D22,1)=0,MOD(Ответы!E22,1)=0,MOD(Ответы!F22,1)=0),MAX(Ответы!D22:F22),NA()),NA())</f>
        <v>9</v>
      </c>
      <c r="G26" s="9">
        <f>IF(C26="max",D26/$I$5,$I$5/F26)</f>
        <v>0.77777777777777779</v>
      </c>
      <c r="H26" s="9">
        <f>IF(C26="max",E26/$I$5,$I$5/E26)</f>
        <v>0.88888888888888884</v>
      </c>
      <c r="I26" s="9">
        <f>IF(C26="max",F26/$I$5,$I$5/D26)</f>
        <v>1</v>
      </c>
      <c r="J26" s="9">
        <f>G26*$F$5</f>
        <v>0.69135802469135799</v>
      </c>
      <c r="K26" s="9">
        <f>H26*$G$5</f>
        <v>0.88888888888888884</v>
      </c>
      <c r="L26" s="9">
        <f>I26*$H$5</f>
        <v>1</v>
      </c>
      <c r="M26" s="9">
        <f>$J$5</f>
        <v>1</v>
      </c>
      <c r="N26" s="9">
        <f>$K$5</f>
        <v>0.49382716049382713</v>
      </c>
      <c r="O26" s="9">
        <f t="shared" si="4"/>
        <v>0.18938985183545437</v>
      </c>
      <c r="P26" s="9">
        <f t="shared" si="5"/>
        <v>0.38785871783716069</v>
      </c>
    </row>
    <row r="27" spans="1:16" ht="22.05" customHeight="1">
      <c r="A27" s="5" t="s">
        <v>50</v>
      </c>
      <c r="B27" s="5" t="s">
        <v>25</v>
      </c>
      <c r="C27" s="5" t="str">
        <f t="shared" si="7"/>
        <v>max</v>
      </c>
      <c r="D27" s="13">
        <f>IFERROR(IF(AND(COUNT(Ответы!D23:F23)=3,MIN(Ответы!D23:F23)&gt;=1,MAX(Ответы!D23:F23)&lt;=9,MOD(Ответы!D23,1)=0,MOD(Ответы!E23,1)=0,MOD(Ответы!F23,1)=0),MIN(Ответы!D23:F23),NA()),NA())</f>
        <v>6</v>
      </c>
      <c r="E27" s="13">
        <f>IFERROR(IF(AND(COUNT(Ответы!D23:F23)=3,MIN(Ответы!D23:F23)&gt;=1,MAX(Ответы!D23:F23)&lt;=9,MOD(Ответы!D23,1)=0,MOD(Ответы!E23,1)=0,MOD(Ответы!F23,1)=0),MEDIAN(Ответы!D23:F23),NA()),NA())</f>
        <v>7</v>
      </c>
      <c r="F27" s="13">
        <f>IFERROR(IF(AND(COUNT(Ответы!D23:F23)=3,MIN(Ответы!D23:F23)&gt;=1,MAX(Ответы!D23:F23)&lt;=9,MOD(Ответы!D23,1)=0,MOD(Ответы!E23,1)=0,MOD(Ответы!F23,1)=0),MAX(Ответы!D23:F23),NA()),NA())</f>
        <v>7</v>
      </c>
      <c r="G27" s="9">
        <f>IF(C27="max",D27/$I$6,$I$6/F27)</f>
        <v>0.66666666666666663</v>
      </c>
      <c r="H27" s="9">
        <f>IF(C27="max",E27/$I$6,$I$6/E27)</f>
        <v>0.77777777777777779</v>
      </c>
      <c r="I27" s="9">
        <f>IF(C27="max",F27/$I$6,$I$6/D27)</f>
        <v>0.77777777777777779</v>
      </c>
      <c r="J27" s="9">
        <f>G27*$F$6</f>
        <v>0.59259259259259256</v>
      </c>
      <c r="K27" s="9">
        <f>H27*$G$6</f>
        <v>0.69135802469135799</v>
      </c>
      <c r="L27" s="9">
        <f>I27*$H$6</f>
        <v>0.77777777777777779</v>
      </c>
      <c r="M27" s="9">
        <f>$J$6</f>
        <v>1</v>
      </c>
      <c r="N27" s="9">
        <f>$K$6</f>
        <v>0.49382716049382713</v>
      </c>
      <c r="O27" s="9">
        <f t="shared" si="4"/>
        <v>0.3217780708201583</v>
      </c>
      <c r="P27" s="9">
        <f t="shared" si="5"/>
        <v>0.20768646717605829</v>
      </c>
    </row>
    <row r="28" spans="1:16" ht="22.05" customHeight="1">
      <c r="A28" s="5" t="s">
        <v>50</v>
      </c>
      <c r="B28" s="5" t="s">
        <v>27</v>
      </c>
      <c r="C28" s="5" t="str">
        <f t="shared" si="7"/>
        <v>max</v>
      </c>
      <c r="D28" s="13">
        <f>IFERROR(IF(AND(COUNT(Ответы!D24:F24)=3,MIN(Ответы!D24:F24)&gt;=1,MAX(Ответы!D24:F24)&lt;=9,MOD(Ответы!D24,1)=0,MOD(Ответы!E24,1)=0,MOD(Ответы!F24,1)=0),MIN(Ответы!D24:F24),NA()),NA())</f>
        <v>8</v>
      </c>
      <c r="E28" s="13">
        <f>IFERROR(IF(AND(COUNT(Ответы!D24:F24)=3,MIN(Ответы!D24:F24)&gt;=1,MAX(Ответы!D24:F24)&lt;=9,MOD(Ответы!D24,1)=0,MOD(Ответы!E24,1)=0,MOD(Ответы!F24,1)=0),MEDIAN(Ответы!D24:F24),NA()),NA())</f>
        <v>8</v>
      </c>
      <c r="F28" s="13">
        <f>IFERROR(IF(AND(COUNT(Ответы!D24:F24)=3,MIN(Ответы!D24:F24)&gt;=1,MAX(Ответы!D24:F24)&lt;=9,MOD(Ответы!D24,1)=0,MOD(Ответы!E24,1)=0,MOD(Ответы!F24,1)=0),MAX(Ответы!D24:F24),NA()),NA())</f>
        <v>8</v>
      </c>
      <c r="G28" s="9">
        <f>IF(C28="max",D28/$I$7,$I$7/F28)</f>
        <v>0.88888888888888884</v>
      </c>
      <c r="H28" s="9">
        <f>IF(C28="max",E28/$I$7,$I$7/E28)</f>
        <v>0.88888888888888884</v>
      </c>
      <c r="I28" s="9">
        <f>IF(C28="max",F28/$I$7,$I$7/D28)</f>
        <v>0.88888888888888884</v>
      </c>
      <c r="J28" s="9">
        <f>G28*$F$7</f>
        <v>0.59259259259259256</v>
      </c>
      <c r="K28" s="9">
        <f>H28*$G$7</f>
        <v>0.59259259259259256</v>
      </c>
      <c r="L28" s="9">
        <f>I28*$H$7</f>
        <v>0.69135802469135799</v>
      </c>
      <c r="M28" s="9">
        <f>$J$7</f>
        <v>0.77777777777777779</v>
      </c>
      <c r="N28" s="9">
        <f>$K$7</f>
        <v>0.44444444444444442</v>
      </c>
      <c r="O28" s="9">
        <f t="shared" si="4"/>
        <v>0.15922256890660993</v>
      </c>
      <c r="P28" s="9">
        <f t="shared" si="5"/>
        <v>0.18695994554074974</v>
      </c>
    </row>
    <row r="29" spans="1:16" ht="22.05" customHeight="1">
      <c r="A29" s="5" t="s">
        <v>50</v>
      </c>
      <c r="B29" s="5" t="s">
        <v>29</v>
      </c>
      <c r="C29" s="5" t="str">
        <f t="shared" si="7"/>
        <v>max</v>
      </c>
      <c r="D29" s="13">
        <f>IFERROR(IF(AND(COUNT(Ответы!D25:F25)=3,MIN(Ответы!D25:F25)&gt;=1,MAX(Ответы!D25:F25)&lt;=9,MOD(Ответы!D25,1)=0,MOD(Ответы!E25,1)=0,MOD(Ответы!F25,1)=0),MIN(Ответы!D25:F25),NA()),NA())</f>
        <v>5</v>
      </c>
      <c r="E29" s="13">
        <f>IFERROR(IF(AND(COUNT(Ответы!D25:F25)=3,MIN(Ответы!D25:F25)&gt;=1,MAX(Ответы!D25:F25)&lt;=9,MOD(Ответы!D25,1)=0,MOD(Ответы!E25,1)=0,MOD(Ответы!F25,1)=0),MEDIAN(Ответы!D25:F25),NA()),NA())</f>
        <v>6</v>
      </c>
      <c r="F29" s="13">
        <f>IFERROR(IF(AND(COUNT(Ответы!D25:F25)=3,MIN(Ответы!D25:F25)&gt;=1,MAX(Ответы!D25:F25)&lt;=9,MOD(Ответы!D25,1)=0,MOD(Ответы!E25,1)=0,MOD(Ответы!F25,1)=0),MAX(Ответы!D25:F25),NA()),NA())</f>
        <v>6</v>
      </c>
      <c r="G29" s="9">
        <f>IF(C29="max",D29/$I$8,$I$8/F29)</f>
        <v>0.55555555555555558</v>
      </c>
      <c r="H29" s="9">
        <f>IF(C29="max",E29/$I$8,$I$8/E29)</f>
        <v>0.66666666666666663</v>
      </c>
      <c r="I29" s="9">
        <f>IF(C29="max",F29/$I$8,$I$8/D29)</f>
        <v>0.66666666666666663</v>
      </c>
      <c r="J29" s="9">
        <f>G29*$F$8</f>
        <v>0.49382716049382713</v>
      </c>
      <c r="K29" s="9">
        <f>H29*$G$8</f>
        <v>0.66666666666666663</v>
      </c>
      <c r="L29" s="9">
        <f>I29*$H$8</f>
        <v>0.66666666666666663</v>
      </c>
      <c r="M29" s="9">
        <f>$J$8</f>
        <v>1</v>
      </c>
      <c r="N29" s="9">
        <f>$K$8</f>
        <v>0.29629629629629628</v>
      </c>
      <c r="O29" s="9">
        <f t="shared" si="4"/>
        <v>0.39934661873113192</v>
      </c>
      <c r="P29" s="9">
        <f t="shared" si="5"/>
        <v>0.32319594923575079</v>
      </c>
    </row>
    <row r="30" spans="1:16" ht="22.05" customHeight="1">
      <c r="A30" s="5" t="s">
        <v>50</v>
      </c>
      <c r="B30" s="5" t="s">
        <v>31</v>
      </c>
      <c r="C30" s="5" t="str">
        <f t="shared" si="7"/>
        <v>min</v>
      </c>
      <c r="D30" s="13">
        <f>IFERROR(IF(AND(COUNT(Ответы!D26:F26)=3,MIN(Ответы!D26:F26)&gt;=1,MAX(Ответы!D26:F26)&lt;=9,MOD(Ответы!D26,1)=0,MOD(Ответы!E26,1)=0,MOD(Ответы!F26,1)=0),MIN(Ответы!D26:F26),NA()),NA())</f>
        <v>5</v>
      </c>
      <c r="E30" s="13">
        <f>IFERROR(IF(AND(COUNT(Ответы!D26:F26)=3,MIN(Ответы!D26:F26)&gt;=1,MAX(Ответы!D26:F26)&lt;=9,MOD(Ответы!D26,1)=0,MOD(Ответы!E26,1)=0,MOD(Ответы!F26,1)=0),MEDIAN(Ответы!D26:F26),NA()),NA())</f>
        <v>6</v>
      </c>
      <c r="F30" s="13">
        <f>IFERROR(IF(AND(COUNT(Ответы!D26:F26)=3,MIN(Ответы!D26:F26)&gt;=1,MAX(Ответы!D26:F26)&lt;=9,MOD(Ответы!D26,1)=0,MOD(Ответы!E26,1)=0,MOD(Ответы!F26,1)=0),MAX(Ответы!D26:F26),NA()),NA())</f>
        <v>7</v>
      </c>
      <c r="G30" s="9">
        <f>IF(C30="max",D30/$I$9,$I$9/F30)</f>
        <v>0.42857142857142855</v>
      </c>
      <c r="H30" s="9">
        <f>IF(C30="max",E30/$I$9,$I$9/E30)</f>
        <v>0.5</v>
      </c>
      <c r="I30" s="9">
        <f>IF(C30="max",F30/$I$9,$I$9/D30)</f>
        <v>0.6</v>
      </c>
      <c r="J30" s="9">
        <f>G30*$F$9</f>
        <v>0.2857142857142857</v>
      </c>
      <c r="K30" s="9">
        <f>H30*$G$9</f>
        <v>0.3888888888888889</v>
      </c>
      <c r="L30" s="9">
        <f>I30*$H$9</f>
        <v>0.53333333333333333</v>
      </c>
      <c r="M30" s="9">
        <f>$J$9</f>
        <v>0.88888888888888884</v>
      </c>
      <c r="N30" s="9">
        <f>$K$9</f>
        <v>0.25</v>
      </c>
      <c r="O30" s="9">
        <f t="shared" si="4"/>
        <v>0.49673579664353418</v>
      </c>
      <c r="P30" s="9">
        <f t="shared" si="5"/>
        <v>0.18334249501833949</v>
      </c>
    </row>
    <row r="31" spans="1:16" ht="22.05" customHeight="1">
      <c r="A31" s="5" t="s">
        <v>50</v>
      </c>
      <c r="B31" s="5" t="s">
        <v>34</v>
      </c>
      <c r="C31" s="5" t="str">
        <f t="shared" si="7"/>
        <v>min</v>
      </c>
      <c r="D31" s="13">
        <f>IFERROR(IF(AND(COUNT(Ответы!D27:F27)=3,MIN(Ответы!D27:F27)&gt;=1,MAX(Ответы!D27:F27)&lt;=9,MOD(Ответы!D27,1)=0,MOD(Ответы!E27,1)=0,MOD(Ответы!F27,1)=0),MIN(Ответы!D27:F27),NA()),NA())</f>
        <v>5</v>
      </c>
      <c r="E31" s="13">
        <f>IFERROR(IF(AND(COUNT(Ответы!D27:F27)=3,MIN(Ответы!D27:F27)&gt;=1,MAX(Ответы!D27:F27)&lt;=9,MOD(Ответы!D27,1)=0,MOD(Ответы!E27,1)=0,MOD(Ответы!F27,1)=0),MEDIAN(Ответы!D27:F27),NA()),NA())</f>
        <v>7</v>
      </c>
      <c r="F31" s="13">
        <f>IFERROR(IF(AND(COUNT(Ответы!D27:F27)=3,MIN(Ответы!D27:F27)&gt;=1,MAX(Ответы!D27:F27)&lt;=9,MOD(Ответы!D27,1)=0,MOD(Ответы!E27,1)=0,MOD(Ответы!F27,1)=0),MAX(Ответы!D27:F27),NA()),NA())</f>
        <v>9</v>
      </c>
      <c r="G31" s="9">
        <f>IF(C31="max",D31/$I$10,$I$10/F31)</f>
        <v>0.33333333333333331</v>
      </c>
      <c r="H31" s="9">
        <f>IF(C31="max",E31/$I$10,$I$10/E31)</f>
        <v>0.42857142857142855</v>
      </c>
      <c r="I31" s="9">
        <f>IF(C31="max",F31/$I$10,$I$10/D31)</f>
        <v>0.6</v>
      </c>
      <c r="J31" s="9">
        <f>G31*$F$10</f>
        <v>0.25925925925925924</v>
      </c>
      <c r="K31" s="9">
        <f>H31*$G$10</f>
        <v>0.33333333333333331</v>
      </c>
      <c r="L31" s="9">
        <f>I31*$H$10</f>
        <v>0.53333333333333333</v>
      </c>
      <c r="M31" s="9">
        <f>$J$10</f>
        <v>0.88888888888888884</v>
      </c>
      <c r="N31" s="9">
        <f>$K$10</f>
        <v>0.25925925925925924</v>
      </c>
      <c r="O31" s="9">
        <f t="shared" si="4"/>
        <v>0.5264646866608137</v>
      </c>
      <c r="P31" s="9">
        <f t="shared" si="5"/>
        <v>0.16391417116842222</v>
      </c>
    </row>
    <row r="32" spans="1:16" ht="22.05" customHeight="1">
      <c r="A32" s="5" t="s">
        <v>51</v>
      </c>
      <c r="B32" s="5" t="s">
        <v>22</v>
      </c>
      <c r="C32" s="5" t="str">
        <f t="shared" ref="C32:C37" si="8">B5</f>
        <v>max</v>
      </c>
      <c r="D32" s="13">
        <f>IFERROR(IF(AND(COUNT(Ответы!D28:F28)=3,MIN(Ответы!D28:F28)&gt;=1,MAX(Ответы!D28:F28)&lt;=9,MOD(Ответы!D28,1)=0,MOD(Ответы!E28,1)=0,MOD(Ответы!F28,1)=0),MIN(Ответы!D28:F28),NA()),NA())</f>
        <v>5</v>
      </c>
      <c r="E32" s="13">
        <f>IFERROR(IF(AND(COUNT(Ответы!D28:F28)=3,MIN(Ответы!D28:F28)&gt;=1,MAX(Ответы!D28:F28)&lt;=9,MOD(Ответы!D28,1)=0,MOD(Ответы!E28,1)=0,MOD(Ответы!F28,1)=0),MEDIAN(Ответы!D28:F28),NA()),NA())</f>
        <v>6</v>
      </c>
      <c r="F32" s="13">
        <f>IFERROR(IF(AND(COUNT(Ответы!D28:F28)=3,MIN(Ответы!D28:F28)&gt;=1,MAX(Ответы!D28:F28)&lt;=9,MOD(Ответы!D28,1)=0,MOD(Ответы!E28,1)=0,MOD(Ответы!F28,1)=0),MAX(Ответы!D28:F28),NA()),NA())</f>
        <v>7</v>
      </c>
      <c r="G32" s="9">
        <f>IF(C32="max",D32/$I$5,$I$5/F32)</f>
        <v>0.55555555555555558</v>
      </c>
      <c r="H32" s="9">
        <f>IF(C32="max",E32/$I$5,$I$5/E32)</f>
        <v>0.66666666666666663</v>
      </c>
      <c r="I32" s="9">
        <f>IF(C32="max",F32/$I$5,$I$5/D32)</f>
        <v>0.77777777777777779</v>
      </c>
      <c r="J32" s="9">
        <f>G32*$F$5</f>
        <v>0.49382716049382713</v>
      </c>
      <c r="K32" s="9">
        <f>H32*$G$5</f>
        <v>0.66666666666666663</v>
      </c>
      <c r="L32" s="9">
        <f>I32*$H$5</f>
        <v>0.77777777777777779</v>
      </c>
      <c r="M32" s="9">
        <f>$J$5</f>
        <v>1</v>
      </c>
      <c r="N32" s="9">
        <f>$K$5</f>
        <v>0.49382716049382713</v>
      </c>
      <c r="O32" s="9">
        <f t="shared" si="4"/>
        <v>0.37269503646378932</v>
      </c>
      <c r="P32" s="9">
        <f t="shared" si="5"/>
        <v>0.19192137969318551</v>
      </c>
    </row>
    <row r="33" spans="1:16" ht="22.05" customHeight="1">
      <c r="A33" s="5" t="s">
        <v>51</v>
      </c>
      <c r="B33" s="5" t="s">
        <v>25</v>
      </c>
      <c r="C33" s="5" t="str">
        <f t="shared" si="8"/>
        <v>max</v>
      </c>
      <c r="D33" s="13">
        <f>IFERROR(IF(AND(COUNT(Ответы!D29:F29)=3,MIN(Ответы!D29:F29)&gt;=1,MAX(Ответы!D29:F29)&lt;=9,MOD(Ответы!D29,1)=0,MOD(Ответы!E29,1)=0,MOD(Ответы!F29,1)=0),MIN(Ответы!D29:F29),NA()),NA())</f>
        <v>7</v>
      </c>
      <c r="E33" s="13">
        <f>IFERROR(IF(AND(COUNT(Ответы!D29:F29)=3,MIN(Ответы!D29:F29)&gt;=1,MAX(Ответы!D29:F29)&lt;=9,MOD(Ответы!D29,1)=0,MOD(Ответы!E29,1)=0,MOD(Ответы!F29,1)=0),MEDIAN(Ответы!D29:F29),NA()),NA())</f>
        <v>7</v>
      </c>
      <c r="F33" s="13">
        <f>IFERROR(IF(AND(COUNT(Ответы!D29:F29)=3,MIN(Ответы!D29:F29)&gt;=1,MAX(Ответы!D29:F29)&lt;=9,MOD(Ответы!D29,1)=0,MOD(Ответы!E29,1)=0,MOD(Ответы!F29,1)=0),MAX(Ответы!D29:F29),NA()),NA())</f>
        <v>7</v>
      </c>
      <c r="G33" s="9">
        <f>IF(C33="max",D33/$I$6,$I$6/F33)</f>
        <v>0.77777777777777779</v>
      </c>
      <c r="H33" s="9">
        <f>IF(C33="max",E33/$I$6,$I$6/E33)</f>
        <v>0.77777777777777779</v>
      </c>
      <c r="I33" s="9">
        <f>IF(C33="max",F33/$I$6,$I$6/D33)</f>
        <v>0.77777777777777779</v>
      </c>
      <c r="J33" s="9">
        <f>G33*$F$6</f>
        <v>0.69135802469135799</v>
      </c>
      <c r="K33" s="9">
        <f>H33*$G$6</f>
        <v>0.69135802469135799</v>
      </c>
      <c r="L33" s="9">
        <f>I33*$H$6</f>
        <v>0.77777777777777779</v>
      </c>
      <c r="M33" s="9">
        <f>$J$6</f>
        <v>1</v>
      </c>
      <c r="N33" s="9">
        <f>$K$6</f>
        <v>0.49382716049382713</v>
      </c>
      <c r="O33" s="9">
        <f t="shared" si="4"/>
        <v>0.28278522703883918</v>
      </c>
      <c r="P33" s="9">
        <f t="shared" si="5"/>
        <v>0.22997451864440935</v>
      </c>
    </row>
    <row r="34" spans="1:16" ht="22.05" customHeight="1">
      <c r="A34" s="5" t="s">
        <v>51</v>
      </c>
      <c r="B34" s="5" t="s">
        <v>27</v>
      </c>
      <c r="C34" s="5" t="str">
        <f t="shared" si="8"/>
        <v>max</v>
      </c>
      <c r="D34" s="13">
        <f>IFERROR(IF(AND(COUNT(Ответы!D30:F30)=3,MIN(Ответы!D30:F30)&gt;=1,MAX(Ответы!D30:F30)&lt;=9,MOD(Ответы!D30,1)=0,MOD(Ответы!E30,1)=0,MOD(Ответы!F30,1)=0),MIN(Ответы!D30:F30),NA()),NA())</f>
        <v>6</v>
      </c>
      <c r="E34" s="13">
        <f>IFERROR(IF(AND(COUNT(Ответы!D30:F30)=3,MIN(Ответы!D30:F30)&gt;=1,MAX(Ответы!D30:F30)&lt;=9,MOD(Ответы!D30,1)=0,MOD(Ответы!E30,1)=0,MOD(Ответы!F30,1)=0),MEDIAN(Ответы!D30:F30),NA()),NA())</f>
        <v>8</v>
      </c>
      <c r="F34" s="13">
        <f>IFERROR(IF(AND(COUNT(Ответы!D30:F30)=3,MIN(Ответы!D30:F30)&gt;=1,MAX(Ответы!D30:F30)&lt;=9,MOD(Ответы!D30,1)=0,MOD(Ответы!E30,1)=0,MOD(Ответы!F30,1)=0),MAX(Ответы!D30:F30),NA()),NA())</f>
        <v>9</v>
      </c>
      <c r="G34" s="9">
        <f>IF(C34="max",D34/$I$7,$I$7/F34)</f>
        <v>0.66666666666666663</v>
      </c>
      <c r="H34" s="9">
        <f>IF(C34="max",E34/$I$7,$I$7/E34)</f>
        <v>0.88888888888888884</v>
      </c>
      <c r="I34" s="9">
        <f>IF(C34="max",F34/$I$7,$I$7/D34)</f>
        <v>1</v>
      </c>
      <c r="J34" s="9">
        <f>G34*$F$7</f>
        <v>0.44444444444444442</v>
      </c>
      <c r="K34" s="9">
        <f>H34*$G$7</f>
        <v>0.59259259259259256</v>
      </c>
      <c r="L34" s="9">
        <f>I34*$H$7</f>
        <v>0.77777777777777779</v>
      </c>
      <c r="M34" s="9">
        <f>$J$7</f>
        <v>0.77777777777777779</v>
      </c>
      <c r="N34" s="9">
        <f>$K$7</f>
        <v>0.44444444444444442</v>
      </c>
      <c r="O34" s="9">
        <f t="shared" si="4"/>
        <v>0.2201549938287285</v>
      </c>
      <c r="P34" s="9">
        <f t="shared" si="5"/>
        <v>0.21060150752138249</v>
      </c>
    </row>
    <row r="35" spans="1:16" ht="22.05" customHeight="1">
      <c r="A35" s="5" t="s">
        <v>51</v>
      </c>
      <c r="B35" s="5" t="s">
        <v>29</v>
      </c>
      <c r="C35" s="5" t="str">
        <f t="shared" si="8"/>
        <v>max</v>
      </c>
      <c r="D35" s="13">
        <f>IFERROR(IF(AND(COUNT(Ответы!D31:F31)=3,MIN(Ответы!D31:F31)&gt;=1,MAX(Ответы!D31:F31)&lt;=9,MOD(Ответы!D31,1)=0,MOD(Ответы!E31,1)=0,MOD(Ответы!F31,1)=0),MIN(Ответы!D31:F31),NA()),NA())</f>
        <v>6</v>
      </c>
      <c r="E35" s="13">
        <f>IFERROR(IF(AND(COUNT(Ответы!D31:F31)=3,MIN(Ответы!D31:F31)&gt;=1,MAX(Ответы!D31:F31)&lt;=9,MOD(Ответы!D31,1)=0,MOD(Ответы!E31,1)=0,MOD(Ответы!F31,1)=0),MEDIAN(Ответы!D31:F31),NA()),NA())</f>
        <v>6</v>
      </c>
      <c r="F35" s="13">
        <f>IFERROR(IF(AND(COUNT(Ответы!D31:F31)=3,MIN(Ответы!D31:F31)&gt;=1,MAX(Ответы!D31:F31)&lt;=9,MOD(Ответы!D31,1)=0,MOD(Ответы!E31,1)=0,MOD(Ответы!F31,1)=0),MAX(Ответы!D31:F31),NA()),NA())</f>
        <v>7</v>
      </c>
      <c r="G35" s="9">
        <f>IF(C35="max",D35/$I$8,$I$8/F35)</f>
        <v>0.66666666666666663</v>
      </c>
      <c r="H35" s="9">
        <f>IF(C35="max",E35/$I$8,$I$8/E35)</f>
        <v>0.66666666666666663</v>
      </c>
      <c r="I35" s="9">
        <f>IF(C35="max",F35/$I$8,$I$8/D35)</f>
        <v>0.77777777777777779</v>
      </c>
      <c r="J35" s="9">
        <f>G35*$F$8</f>
        <v>0.59259259259259256</v>
      </c>
      <c r="K35" s="9">
        <f>H35*$G$8</f>
        <v>0.66666666666666663</v>
      </c>
      <c r="L35" s="9">
        <f>I35*$H$8</f>
        <v>0.77777777777777779</v>
      </c>
      <c r="M35" s="9">
        <f>$J$8</f>
        <v>1</v>
      </c>
      <c r="N35" s="9">
        <f>$K$8</f>
        <v>0.29629629629629628</v>
      </c>
      <c r="O35" s="9">
        <f t="shared" si="4"/>
        <v>0.32988615347870093</v>
      </c>
      <c r="P35" s="9">
        <f t="shared" si="5"/>
        <v>0.39020939825380513</v>
      </c>
    </row>
    <row r="36" spans="1:16" ht="22.05" customHeight="1">
      <c r="A36" s="5" t="s">
        <v>51</v>
      </c>
      <c r="B36" s="5" t="s">
        <v>31</v>
      </c>
      <c r="C36" s="5" t="str">
        <f t="shared" si="8"/>
        <v>min</v>
      </c>
      <c r="D36" s="13">
        <f>IFERROR(IF(AND(COUNT(Ответы!D32:F32)=3,MIN(Ответы!D32:F32)&gt;=1,MAX(Ответы!D32:F32)&lt;=9,MOD(Ответы!D32,1)=0,MOD(Ответы!E32,1)=0,MOD(Ответы!F32,1)=0),MIN(Ответы!D32:F32),NA()),NA())</f>
        <v>7</v>
      </c>
      <c r="E36" s="13">
        <f>IFERROR(IF(AND(COUNT(Ответы!D32:F32)=3,MIN(Ответы!D32:F32)&gt;=1,MAX(Ответы!D32:F32)&lt;=9,MOD(Ответы!D32,1)=0,MOD(Ответы!E32,1)=0,MOD(Ответы!F32,1)=0),MEDIAN(Ответы!D32:F32),NA()),NA())</f>
        <v>7</v>
      </c>
      <c r="F36" s="13">
        <f>IFERROR(IF(AND(COUNT(Ответы!D32:F32)=3,MIN(Ответы!D32:F32)&gt;=1,MAX(Ответы!D32:F32)&lt;=9,MOD(Ответы!D32,1)=0,MOD(Ответы!E32,1)=0,MOD(Ответы!F32,1)=0),MAX(Ответы!D32:F32),NA()),NA())</f>
        <v>8</v>
      </c>
      <c r="G36" s="9">
        <f>IF(C36="max",D36/$I$9,$I$9/F36)</f>
        <v>0.375</v>
      </c>
      <c r="H36" s="9">
        <f>IF(C36="max",E36/$I$9,$I$9/E36)</f>
        <v>0.42857142857142855</v>
      </c>
      <c r="I36" s="9">
        <f>IF(C36="max",F36/$I$9,$I$9/D36)</f>
        <v>0.42857142857142855</v>
      </c>
      <c r="J36" s="9">
        <f>G36*$F$9</f>
        <v>0.25</v>
      </c>
      <c r="K36" s="9">
        <f>H36*$G$9</f>
        <v>0.33333333333333331</v>
      </c>
      <c r="L36" s="9">
        <f>I36*$H$9</f>
        <v>0.38095238095238093</v>
      </c>
      <c r="M36" s="9">
        <f>$J$9</f>
        <v>0.88888888888888884</v>
      </c>
      <c r="N36" s="9">
        <f>$K$9</f>
        <v>0.25</v>
      </c>
      <c r="O36" s="9">
        <f t="shared" si="4"/>
        <v>0.57003522807777862</v>
      </c>
      <c r="P36" s="9">
        <f t="shared" si="5"/>
        <v>8.9615791989176297E-2</v>
      </c>
    </row>
    <row r="37" spans="1:16" ht="22.05" customHeight="1">
      <c r="A37" s="5" t="s">
        <v>51</v>
      </c>
      <c r="B37" s="5" t="s">
        <v>34</v>
      </c>
      <c r="C37" s="5" t="str">
        <f t="shared" si="8"/>
        <v>min</v>
      </c>
      <c r="D37" s="13">
        <f>IFERROR(IF(AND(COUNT(Ответы!D33:F33)=3,MIN(Ответы!D33:F33)&gt;=1,MAX(Ответы!D33:F33)&lt;=9,MOD(Ответы!D33,1)=0,MOD(Ответы!E33,1)=0,MOD(Ответы!F33,1)=0),MIN(Ответы!D33:F33),NA()),NA())</f>
        <v>4</v>
      </c>
      <c r="E37" s="13">
        <f>IFERROR(IF(AND(COUNT(Ответы!D33:F33)=3,MIN(Ответы!D33:F33)&gt;=1,MAX(Ответы!D33:F33)&lt;=9,MOD(Ответы!D33,1)=0,MOD(Ответы!E33,1)=0,MOD(Ответы!F33,1)=0),MEDIAN(Ответы!D33:F33),NA()),NA())</f>
        <v>7</v>
      </c>
      <c r="F37" s="13">
        <f>IFERROR(IF(AND(COUNT(Ответы!D33:F33)=3,MIN(Ответы!D33:F33)&gt;=1,MAX(Ответы!D33:F33)&lt;=9,MOD(Ответы!D33,1)=0,MOD(Ответы!E33,1)=0,MOD(Ответы!F33,1)=0),MAX(Ответы!D33:F33),NA()),NA())</f>
        <v>8</v>
      </c>
      <c r="G37" s="9">
        <f>IF(C37="max",D37/$I$10,$I$10/F37)</f>
        <v>0.375</v>
      </c>
      <c r="H37" s="9">
        <f>IF(C37="max",E37/$I$10,$I$10/E37)</f>
        <v>0.42857142857142855</v>
      </c>
      <c r="I37" s="9">
        <f>IF(C37="max",F37/$I$10,$I$10/D37)</f>
        <v>0.75</v>
      </c>
      <c r="J37" s="9">
        <f>G37*$F$10</f>
        <v>0.29166666666666669</v>
      </c>
      <c r="K37" s="9">
        <f>H37*$G$10</f>
        <v>0.33333333333333331</v>
      </c>
      <c r="L37" s="9">
        <f>I37*$H$10</f>
        <v>0.66666666666666663</v>
      </c>
      <c r="M37" s="9">
        <f>$J$10</f>
        <v>0.88888888888888884</v>
      </c>
      <c r="N37" s="9">
        <f>$K$10</f>
        <v>0.25925925925925924</v>
      </c>
      <c r="O37" s="9">
        <f t="shared" si="4"/>
        <v>0.48809120530015493</v>
      </c>
      <c r="P37" s="9">
        <f t="shared" si="5"/>
        <v>0.23980408956425683</v>
      </c>
    </row>
    <row r="38" spans="1:16" ht="22.05" customHeight="1">
      <c r="A38" s="5"/>
      <c r="B38" s="5"/>
      <c r="C38" s="5"/>
      <c r="D38" s="5"/>
      <c r="E38" s="5"/>
      <c r="F38" s="5"/>
      <c r="G38" s="5"/>
      <c r="H38" s="5"/>
      <c r="I38" s="5"/>
      <c r="J38" s="5"/>
      <c r="K38" s="5"/>
      <c r="L38" s="5"/>
      <c r="M38" s="5"/>
      <c r="N38" s="5"/>
      <c r="O38" s="5"/>
      <c r="P38" s="5"/>
    </row>
    <row r="39" spans="1:16" ht="22.05" customHeight="1">
      <c r="A39" s="5"/>
      <c r="B39" s="5"/>
      <c r="C39" s="5"/>
      <c r="D39" s="5"/>
      <c r="E39" s="5"/>
      <c r="F39" s="5"/>
      <c r="G39" s="5"/>
      <c r="H39" s="5"/>
      <c r="I39" s="5"/>
      <c r="J39" s="5"/>
      <c r="K39" s="5"/>
      <c r="L39" s="5"/>
      <c r="M39" s="5"/>
      <c r="N39" s="5"/>
      <c r="O39" s="5"/>
      <c r="P39" s="5"/>
    </row>
    <row r="40" spans="1:16" ht="31.95" customHeight="1">
      <c r="A40" s="7" t="s">
        <v>3</v>
      </c>
      <c r="B40" s="7" t="s">
        <v>5</v>
      </c>
      <c r="C40" s="7" t="s">
        <v>6</v>
      </c>
      <c r="D40" s="7" t="s">
        <v>7</v>
      </c>
      <c r="E40" s="7" t="s">
        <v>2</v>
      </c>
      <c r="F40" s="7" t="s">
        <v>4</v>
      </c>
      <c r="G40" s="5"/>
      <c r="H40" s="5"/>
      <c r="I40" s="5"/>
      <c r="J40" s="5"/>
      <c r="K40" s="5"/>
      <c r="L40" s="5"/>
      <c r="M40" s="5"/>
      <c r="N40" s="5"/>
      <c r="O40" s="5"/>
      <c r="P40" s="5"/>
    </row>
    <row r="41" spans="1:16" ht="60" customHeight="1">
      <c r="A41" s="5" t="s">
        <v>48</v>
      </c>
      <c r="B41" s="9">
        <f>SUM(O14:O19)</f>
        <v>2.3661642701380985</v>
      </c>
      <c r="C41" s="9">
        <f>SUM(P14:P19)</f>
        <v>1.2441776590864539</v>
      </c>
      <c r="D41" s="9">
        <f>IF(B41+C41=0,NA(),C41/(B41+C41))</f>
        <v>0.34461491002146843</v>
      </c>
      <c r="E41" s="5">
        <f>1+COUNTIF($D$41:$D$44,"&gt;"&amp;D41)</f>
        <v>4</v>
      </c>
      <c r="F41" s="8" t="s">
        <v>52</v>
      </c>
      <c r="G41" s="5"/>
      <c r="H41" s="5"/>
      <c r="I41" s="5"/>
      <c r="J41" s="5"/>
      <c r="K41" s="5"/>
      <c r="L41" s="5"/>
      <c r="M41" s="5"/>
      <c r="N41" s="5"/>
      <c r="O41" s="5"/>
      <c r="P41" s="5"/>
    </row>
    <row r="42" spans="1:16" ht="60" customHeight="1">
      <c r="A42" s="5" t="s">
        <v>49</v>
      </c>
      <c r="B42" s="9">
        <f>SUM(O20:O25)</f>
        <v>1.2047183517353517</v>
      </c>
      <c r="C42" s="9">
        <f>SUM(P20:P25)</f>
        <v>2.4617148493552428</v>
      </c>
      <c r="D42" s="9">
        <f>IF(B42+C42=0,NA(),C42/(B42+C42))</f>
        <v>0.67141952800967342</v>
      </c>
      <c r="E42" s="5">
        <f>1+COUNTIF($D$41:$D$44,"&gt;"&amp;D42)</f>
        <v>1</v>
      </c>
      <c r="F42" s="8" t="s">
        <v>53</v>
      </c>
      <c r="G42" s="5"/>
      <c r="H42" s="5"/>
      <c r="I42" s="5"/>
      <c r="J42" s="5"/>
      <c r="K42" s="5"/>
      <c r="L42" s="5"/>
      <c r="M42" s="5"/>
      <c r="N42" s="5"/>
      <c r="O42" s="5"/>
      <c r="P42" s="5"/>
    </row>
    <row r="43" spans="1:16" ht="60" customHeight="1">
      <c r="A43" s="5" t="s">
        <v>50</v>
      </c>
      <c r="B43" s="9">
        <f>SUM(O26:O31)</f>
        <v>2.0929375935977026</v>
      </c>
      <c r="C43" s="9">
        <f>SUM(P26:P31)</f>
        <v>1.4529577459764813</v>
      </c>
      <c r="D43" s="9">
        <f>IF(B43+C43=0,NA(),C43/(B43+C43))</f>
        <v>0.40975765126529728</v>
      </c>
      <c r="E43" s="5">
        <f>1+COUNTIF($D$41:$D$44,"&gt;"&amp;D43)</f>
        <v>2</v>
      </c>
      <c r="F43" s="8" t="s">
        <v>54</v>
      </c>
      <c r="G43" s="5"/>
      <c r="H43" s="5"/>
      <c r="I43" s="5"/>
      <c r="J43" s="5"/>
      <c r="K43" s="5"/>
      <c r="L43" s="5"/>
      <c r="M43" s="5"/>
      <c r="N43" s="5"/>
      <c r="O43" s="5"/>
      <c r="P43" s="5"/>
    </row>
    <row r="44" spans="1:16" ht="60" customHeight="1">
      <c r="A44" s="5" t="s">
        <v>51</v>
      </c>
      <c r="B44" s="9">
        <f>SUM(O32:O37)</f>
        <v>2.2636478441879913</v>
      </c>
      <c r="C44" s="9">
        <f>SUM(P32:P37)</f>
        <v>1.3521266856662155</v>
      </c>
      <c r="D44" s="9">
        <f>IF(B44+C44=0,NA(),C44/(B44+C44))</f>
        <v>0.37395215727700121</v>
      </c>
      <c r="E44" s="5">
        <f>1+COUNTIF($D$41:$D$44,"&gt;"&amp;D44)</f>
        <v>3</v>
      </c>
      <c r="F44" s="8" t="s">
        <v>55</v>
      </c>
      <c r="G44" s="5"/>
      <c r="H44" s="5"/>
      <c r="I44" s="5"/>
      <c r="J44" s="5"/>
      <c r="K44" s="5"/>
      <c r="L44" s="5"/>
      <c r="M44" s="5"/>
      <c r="N44" s="5"/>
      <c r="O44" s="5"/>
      <c r="P44" s="5"/>
    </row>
    <row r="45" spans="1:16" ht="22.05" customHeight="1">
      <c r="A45" s="5"/>
      <c r="B45" s="5"/>
      <c r="C45" s="5"/>
      <c r="D45" s="5"/>
      <c r="E45" s="5"/>
      <c r="F45" s="5"/>
      <c r="G45" s="5"/>
      <c r="H45" s="5"/>
      <c r="I45" s="5"/>
      <c r="J45" s="5"/>
      <c r="K45" s="5"/>
      <c r="L45" s="5"/>
      <c r="M45" s="5"/>
      <c r="N45" s="5"/>
      <c r="O45" s="5"/>
      <c r="P45" s="5"/>
    </row>
    <row r="46" spans="1:16" ht="22.05" customHeight="1">
      <c r="A46" s="5"/>
      <c r="B46" s="5"/>
      <c r="C46" s="5"/>
      <c r="D46" s="5"/>
      <c r="E46" s="5"/>
      <c r="F46" s="5"/>
      <c r="G46" s="5"/>
      <c r="H46" s="5"/>
      <c r="I46" s="5"/>
      <c r="J46" s="5"/>
      <c r="K46" s="5"/>
      <c r="L46" s="5"/>
      <c r="M46" s="5"/>
      <c r="N46" s="5"/>
      <c r="O46" s="5"/>
      <c r="P46" s="5"/>
    </row>
    <row r="47" spans="1:16" ht="22.05" customHeight="1">
      <c r="A47" s="5"/>
      <c r="B47" s="5"/>
      <c r="C47" s="5"/>
      <c r="D47" s="5"/>
      <c r="E47" s="5"/>
      <c r="F47" s="5"/>
      <c r="G47" s="5"/>
      <c r="H47" s="5"/>
      <c r="I47" s="5"/>
      <c r="J47" s="5"/>
      <c r="K47" s="5"/>
      <c r="L47" s="5"/>
      <c r="M47" s="5"/>
      <c r="N47" s="5"/>
      <c r="O47" s="5"/>
      <c r="P47" s="5"/>
    </row>
    <row r="48" spans="1:16" ht="22.05" customHeight="1">
      <c r="A48" s="5"/>
      <c r="B48" s="5"/>
      <c r="C48" s="5"/>
      <c r="D48" s="5"/>
      <c r="E48" s="5"/>
      <c r="F48" s="5"/>
      <c r="G48" s="5"/>
      <c r="H48" s="5"/>
      <c r="I48" s="5"/>
      <c r="J48" s="5"/>
      <c r="K48" s="5"/>
      <c r="L48" s="5"/>
      <c r="M48" s="5"/>
      <c r="N48" s="5"/>
      <c r="O48" s="5"/>
      <c r="P48" s="5"/>
    </row>
    <row r="49" spans="1:16" ht="22.05" customHeight="1">
      <c r="A49" s="5"/>
      <c r="B49" s="5"/>
      <c r="C49" s="5"/>
      <c r="D49" s="5"/>
      <c r="E49" s="5"/>
      <c r="F49" s="5"/>
      <c r="G49" s="5"/>
      <c r="H49" s="5"/>
      <c r="I49" s="5"/>
      <c r="J49" s="5"/>
      <c r="K49" s="5"/>
      <c r="L49" s="5"/>
      <c r="M49" s="5"/>
      <c r="N49" s="5"/>
      <c r="O49" s="5"/>
      <c r="P49" s="5"/>
    </row>
    <row r="50" spans="1:16" ht="22.05" customHeight="1">
      <c r="A50" s="5"/>
      <c r="B50" s="5"/>
      <c r="C50" s="5"/>
      <c r="D50" s="5"/>
      <c r="E50" s="5"/>
      <c r="F50" s="5"/>
      <c r="G50" s="5"/>
      <c r="H50" s="5"/>
      <c r="I50" s="5"/>
      <c r="J50" s="5"/>
      <c r="K50" s="5"/>
      <c r="L50" s="5"/>
      <c r="M50" s="5"/>
      <c r="N50" s="5"/>
      <c r="O50" s="5"/>
      <c r="P5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tabSelected="1" zoomScale="51" zoomScaleNormal="100" workbookViewId="0">
      <pane ySplit="3" topLeftCell="A4" activePane="bottomLeft" state="frozen"/>
      <selection pane="bottomLeft" activeCell="B13" sqref="B13"/>
    </sheetView>
  </sheetViews>
  <sheetFormatPr defaultRowHeight="17.399999999999999"/>
  <cols>
    <col min="1" max="1" width="14" style="6" customWidth="1"/>
    <col min="2" max="2" width="60" style="6" customWidth="1"/>
    <col min="3" max="3" width="22" style="6" customWidth="1"/>
    <col min="4" max="6" width="18" style="6" customWidth="1"/>
    <col min="7" max="16384" width="8.796875" style="6"/>
  </cols>
  <sheetData>
    <row r="1" spans="1:16" s="15" customFormat="1" ht="22.05" customHeight="1">
      <c r="A1" s="3" t="s">
        <v>56</v>
      </c>
      <c r="B1" s="14"/>
      <c r="C1" s="14"/>
      <c r="D1" s="14"/>
      <c r="E1" s="14"/>
      <c r="F1" s="14"/>
      <c r="G1" s="14"/>
      <c r="H1" s="14"/>
      <c r="I1" s="14"/>
      <c r="J1" s="14"/>
      <c r="K1" s="14"/>
      <c r="L1" s="14"/>
      <c r="M1" s="14"/>
      <c r="N1" s="14"/>
      <c r="O1" s="14"/>
      <c r="P1" s="14"/>
    </row>
    <row r="2" spans="1:16" ht="22.05" customHeight="1">
      <c r="A2" s="5"/>
      <c r="B2" s="5"/>
      <c r="C2" s="5"/>
      <c r="D2" s="5"/>
      <c r="E2" s="5"/>
      <c r="F2" s="5"/>
      <c r="G2" s="5"/>
      <c r="H2" s="5"/>
      <c r="I2" s="5"/>
      <c r="J2" s="5"/>
      <c r="K2" s="5"/>
      <c r="L2" s="5"/>
      <c r="M2" s="5"/>
      <c r="N2" s="5"/>
      <c r="O2" s="5"/>
      <c r="P2" s="5"/>
    </row>
    <row r="3" spans="1:16" ht="31.95" customHeight="1">
      <c r="A3" s="7" t="s">
        <v>57</v>
      </c>
      <c r="B3" s="7" t="s">
        <v>58</v>
      </c>
      <c r="C3" s="7" t="s">
        <v>11</v>
      </c>
      <c r="D3" s="7" t="s">
        <v>59</v>
      </c>
      <c r="E3" s="7" t="s">
        <v>60</v>
      </c>
      <c r="F3" s="7" t="s">
        <v>61</v>
      </c>
      <c r="G3" s="5"/>
      <c r="H3" s="5"/>
      <c r="I3" s="5"/>
      <c r="J3" s="5"/>
      <c r="K3" s="5"/>
      <c r="L3" s="5"/>
      <c r="M3" s="5"/>
      <c r="N3" s="5"/>
      <c r="O3" s="5"/>
      <c r="P3" s="5"/>
    </row>
    <row r="4" spans="1:16" ht="22.05" customHeight="1">
      <c r="A4" s="5" t="s">
        <v>22</v>
      </c>
      <c r="B4" s="5" t="s">
        <v>62</v>
      </c>
      <c r="C4" s="5" t="s">
        <v>63</v>
      </c>
      <c r="D4" s="13">
        <v>9</v>
      </c>
      <c r="E4" s="13">
        <v>8</v>
      </c>
      <c r="F4" s="13">
        <v>9</v>
      </c>
      <c r="G4" s="5"/>
      <c r="H4" s="5"/>
      <c r="I4" s="5"/>
      <c r="J4" s="5"/>
      <c r="K4" s="5"/>
      <c r="L4" s="5"/>
      <c r="M4" s="5"/>
      <c r="N4" s="5"/>
      <c r="O4" s="5"/>
      <c r="P4" s="5"/>
    </row>
    <row r="5" spans="1:16" ht="22.05" customHeight="1">
      <c r="A5" s="5" t="s">
        <v>25</v>
      </c>
      <c r="B5" s="5" t="s">
        <v>64</v>
      </c>
      <c r="C5" s="5" t="s">
        <v>63</v>
      </c>
      <c r="D5" s="13">
        <v>9</v>
      </c>
      <c r="E5" s="13">
        <v>8</v>
      </c>
      <c r="F5" s="13">
        <v>8</v>
      </c>
      <c r="G5" s="5"/>
      <c r="H5" s="5"/>
      <c r="I5" s="5"/>
      <c r="J5" s="5"/>
      <c r="K5" s="5"/>
      <c r="L5" s="5"/>
      <c r="M5" s="5"/>
      <c r="N5" s="5"/>
      <c r="O5" s="5"/>
      <c r="P5" s="5"/>
    </row>
    <row r="6" spans="1:16" ht="22.05" customHeight="1">
      <c r="A6" s="5" t="s">
        <v>27</v>
      </c>
      <c r="B6" s="5" t="s">
        <v>65</v>
      </c>
      <c r="C6" s="5" t="s">
        <v>63</v>
      </c>
      <c r="D6" s="13">
        <v>7</v>
      </c>
      <c r="E6" s="13">
        <v>6</v>
      </c>
      <c r="F6" s="13">
        <v>6</v>
      </c>
      <c r="G6" s="5"/>
      <c r="H6" s="5"/>
      <c r="I6" s="5"/>
      <c r="J6" s="5"/>
      <c r="K6" s="5"/>
      <c r="L6" s="5"/>
      <c r="M6" s="5"/>
      <c r="N6" s="5"/>
      <c r="O6" s="5"/>
      <c r="P6" s="5"/>
    </row>
    <row r="7" spans="1:16" ht="22.05" customHeight="1">
      <c r="A7" s="5" t="s">
        <v>29</v>
      </c>
      <c r="B7" s="5" t="s">
        <v>66</v>
      </c>
      <c r="C7" s="5" t="s">
        <v>63</v>
      </c>
      <c r="D7" s="13">
        <v>9</v>
      </c>
      <c r="E7" s="13">
        <v>8</v>
      </c>
      <c r="F7" s="13">
        <v>9</v>
      </c>
      <c r="G7" s="5"/>
      <c r="H7" s="5"/>
      <c r="I7" s="5"/>
      <c r="J7" s="5"/>
      <c r="K7" s="5"/>
      <c r="L7" s="5"/>
      <c r="M7" s="5"/>
      <c r="N7" s="5"/>
      <c r="O7" s="5"/>
      <c r="P7" s="5"/>
    </row>
    <row r="8" spans="1:16" ht="22.05" customHeight="1">
      <c r="A8" s="5" t="s">
        <v>31</v>
      </c>
      <c r="B8" s="5" t="s">
        <v>67</v>
      </c>
      <c r="C8" s="5" t="s">
        <v>63</v>
      </c>
      <c r="D8" s="13">
        <v>7</v>
      </c>
      <c r="E8" s="13">
        <v>8</v>
      </c>
      <c r="F8" s="13">
        <v>6</v>
      </c>
      <c r="G8" s="5"/>
      <c r="H8" s="5"/>
      <c r="I8" s="5"/>
      <c r="J8" s="5"/>
      <c r="K8" s="5"/>
      <c r="L8" s="5"/>
      <c r="M8" s="5"/>
      <c r="N8" s="5"/>
      <c r="O8" s="5"/>
      <c r="P8" s="5"/>
    </row>
    <row r="9" spans="1:16" ht="22.05" customHeight="1">
      <c r="A9" s="5" t="s">
        <v>34</v>
      </c>
      <c r="B9" s="5" t="s">
        <v>68</v>
      </c>
      <c r="C9" s="5" t="s">
        <v>63</v>
      </c>
      <c r="D9" s="13">
        <v>7</v>
      </c>
      <c r="E9" s="13">
        <v>8</v>
      </c>
      <c r="F9" s="13">
        <v>7</v>
      </c>
      <c r="G9" s="5"/>
      <c r="H9" s="5"/>
      <c r="I9" s="5"/>
      <c r="J9" s="5"/>
      <c r="K9" s="5"/>
      <c r="L9" s="5"/>
      <c r="M9" s="5"/>
      <c r="N9" s="5"/>
      <c r="O9" s="5"/>
      <c r="P9" s="5"/>
    </row>
    <row r="10" spans="1:16" ht="22.05" customHeight="1">
      <c r="A10" s="5" t="s">
        <v>69</v>
      </c>
      <c r="B10" s="5" t="s">
        <v>70</v>
      </c>
      <c r="C10" s="5" t="s">
        <v>71</v>
      </c>
      <c r="D10" s="13">
        <v>6</v>
      </c>
      <c r="E10" s="13">
        <v>5</v>
      </c>
      <c r="F10" s="13">
        <v>6</v>
      </c>
      <c r="G10" s="5"/>
      <c r="H10" s="5"/>
      <c r="I10" s="5"/>
      <c r="J10" s="5"/>
      <c r="K10" s="5"/>
      <c r="L10" s="5"/>
      <c r="M10" s="5"/>
      <c r="N10" s="5"/>
      <c r="O10" s="5"/>
      <c r="P10" s="5"/>
    </row>
    <row r="11" spans="1:16" ht="22.05" customHeight="1">
      <c r="A11" s="5" t="s">
        <v>72</v>
      </c>
      <c r="B11" s="5" t="s">
        <v>73</v>
      </c>
      <c r="C11" s="5" t="s">
        <v>71</v>
      </c>
      <c r="D11" s="13">
        <v>8</v>
      </c>
      <c r="E11" s="13">
        <v>5</v>
      </c>
      <c r="F11" s="13">
        <v>6</v>
      </c>
      <c r="G11" s="5"/>
      <c r="H11" s="5"/>
      <c r="I11" s="5"/>
      <c r="J11" s="5"/>
      <c r="K11" s="5"/>
      <c r="L11" s="5"/>
      <c r="M11" s="5"/>
      <c r="N11" s="5"/>
      <c r="O11" s="5"/>
      <c r="P11" s="5"/>
    </row>
    <row r="12" spans="1:16" ht="22.05" customHeight="1">
      <c r="A12" s="5" t="s">
        <v>74</v>
      </c>
      <c r="B12" s="5" t="s">
        <v>75</v>
      </c>
      <c r="C12" s="5" t="s">
        <v>71</v>
      </c>
      <c r="D12" s="13">
        <v>8</v>
      </c>
      <c r="E12" s="13">
        <v>8</v>
      </c>
      <c r="F12" s="13">
        <v>7</v>
      </c>
      <c r="G12" s="5"/>
      <c r="H12" s="5"/>
      <c r="I12" s="5"/>
      <c r="J12" s="5"/>
      <c r="K12" s="5"/>
      <c r="L12" s="5"/>
      <c r="M12" s="5"/>
      <c r="N12" s="5"/>
      <c r="O12" s="5"/>
      <c r="P12" s="5"/>
    </row>
    <row r="13" spans="1:16" ht="22.05" customHeight="1">
      <c r="A13" s="5" t="s">
        <v>76</v>
      </c>
      <c r="B13" s="5" t="s">
        <v>77</v>
      </c>
      <c r="C13" s="5" t="s">
        <v>71</v>
      </c>
      <c r="D13" s="13">
        <v>3</v>
      </c>
      <c r="E13" s="13">
        <v>5</v>
      </c>
      <c r="F13" s="13">
        <v>4</v>
      </c>
      <c r="G13" s="5"/>
      <c r="H13" s="5"/>
      <c r="I13" s="5"/>
      <c r="J13" s="5"/>
      <c r="K13" s="5"/>
      <c r="L13" s="5"/>
      <c r="M13" s="5"/>
      <c r="N13" s="5"/>
      <c r="O13" s="5"/>
      <c r="P13" s="5"/>
    </row>
    <row r="14" spans="1:16" ht="22.05" customHeight="1">
      <c r="A14" s="5" t="s">
        <v>78</v>
      </c>
      <c r="B14" s="5" t="s">
        <v>79</v>
      </c>
      <c r="C14" s="5" t="s">
        <v>80</v>
      </c>
      <c r="D14" s="13">
        <v>4</v>
      </c>
      <c r="E14" s="13">
        <v>6</v>
      </c>
      <c r="F14" s="13">
        <v>4</v>
      </c>
      <c r="G14" s="5"/>
      <c r="H14" s="5"/>
      <c r="I14" s="5"/>
      <c r="J14" s="5"/>
      <c r="K14" s="5"/>
      <c r="L14" s="5"/>
      <c r="M14" s="5"/>
      <c r="N14" s="5"/>
      <c r="O14" s="5"/>
      <c r="P14" s="5"/>
    </row>
    <row r="15" spans="1:16" ht="22.05" customHeight="1">
      <c r="A15" s="5" t="s">
        <v>81</v>
      </c>
      <c r="B15" s="5" t="s">
        <v>82</v>
      </c>
      <c r="C15" s="5" t="s">
        <v>80</v>
      </c>
      <c r="D15" s="13">
        <v>5</v>
      </c>
      <c r="E15" s="13">
        <v>6</v>
      </c>
      <c r="F15" s="13">
        <v>5</v>
      </c>
      <c r="G15" s="5"/>
      <c r="H15" s="5"/>
      <c r="I15" s="5"/>
      <c r="J15" s="5"/>
      <c r="K15" s="5"/>
      <c r="L15" s="5"/>
      <c r="M15" s="5"/>
      <c r="N15" s="5"/>
      <c r="O15" s="5"/>
      <c r="P15" s="5"/>
    </row>
    <row r="16" spans="1:16" ht="22.05" customHeight="1">
      <c r="A16" s="5" t="s">
        <v>83</v>
      </c>
      <c r="B16" s="5" t="s">
        <v>84</v>
      </c>
      <c r="C16" s="5" t="s">
        <v>71</v>
      </c>
      <c r="D16" s="13">
        <v>9</v>
      </c>
      <c r="E16" s="13">
        <v>9</v>
      </c>
      <c r="F16" s="13">
        <v>9</v>
      </c>
      <c r="G16" s="5"/>
      <c r="H16" s="5"/>
      <c r="I16" s="5"/>
      <c r="J16" s="5"/>
      <c r="K16" s="5"/>
      <c r="L16" s="5"/>
      <c r="M16" s="5"/>
      <c r="N16" s="5"/>
      <c r="O16" s="5"/>
      <c r="P16" s="5"/>
    </row>
    <row r="17" spans="1:16" ht="22.05" customHeight="1">
      <c r="A17" s="5" t="s">
        <v>85</v>
      </c>
      <c r="B17" s="5" t="s">
        <v>86</v>
      </c>
      <c r="C17" s="5" t="s">
        <v>71</v>
      </c>
      <c r="D17" s="13">
        <v>8</v>
      </c>
      <c r="E17" s="13">
        <v>9</v>
      </c>
      <c r="F17" s="13">
        <v>9</v>
      </c>
      <c r="G17" s="5"/>
      <c r="H17" s="5"/>
      <c r="I17" s="5"/>
      <c r="J17" s="5"/>
      <c r="K17" s="5"/>
      <c r="L17" s="5"/>
      <c r="M17" s="5"/>
      <c r="N17" s="5"/>
      <c r="O17" s="5"/>
      <c r="P17" s="5"/>
    </row>
    <row r="18" spans="1:16" ht="22.05" customHeight="1">
      <c r="A18" s="5" t="s">
        <v>87</v>
      </c>
      <c r="B18" s="5" t="s">
        <v>88</v>
      </c>
      <c r="C18" s="5" t="s">
        <v>71</v>
      </c>
      <c r="D18" s="13">
        <v>8</v>
      </c>
      <c r="E18" s="13">
        <v>6</v>
      </c>
      <c r="F18" s="13">
        <v>7</v>
      </c>
      <c r="G18" s="5"/>
      <c r="H18" s="5"/>
      <c r="I18" s="5"/>
      <c r="J18" s="5"/>
      <c r="K18" s="5"/>
      <c r="L18" s="5"/>
      <c r="M18" s="5"/>
      <c r="N18" s="5"/>
      <c r="O18" s="5"/>
      <c r="P18" s="5"/>
    </row>
    <row r="19" spans="1:16" ht="22.05" customHeight="1">
      <c r="A19" s="5" t="s">
        <v>89</v>
      </c>
      <c r="B19" s="5" t="s">
        <v>90</v>
      </c>
      <c r="C19" s="5" t="s">
        <v>71</v>
      </c>
      <c r="D19" s="13">
        <v>7</v>
      </c>
      <c r="E19" s="13">
        <v>9</v>
      </c>
      <c r="F19" s="13">
        <v>7</v>
      </c>
      <c r="G19" s="5"/>
      <c r="H19" s="5"/>
      <c r="I19" s="5"/>
      <c r="J19" s="5"/>
      <c r="K19" s="5"/>
      <c r="L19" s="5"/>
      <c r="M19" s="5"/>
      <c r="N19" s="5"/>
      <c r="O19" s="5"/>
      <c r="P19" s="5"/>
    </row>
    <row r="20" spans="1:16" ht="22.05" customHeight="1">
      <c r="A20" s="5" t="s">
        <v>91</v>
      </c>
      <c r="B20" s="5" t="s">
        <v>92</v>
      </c>
      <c r="C20" s="5" t="s">
        <v>80</v>
      </c>
      <c r="D20" s="13">
        <v>3</v>
      </c>
      <c r="E20" s="13">
        <v>4</v>
      </c>
      <c r="F20" s="13">
        <v>4</v>
      </c>
      <c r="G20" s="5"/>
      <c r="H20" s="5"/>
      <c r="I20" s="5"/>
      <c r="J20" s="5"/>
      <c r="K20" s="5"/>
      <c r="L20" s="5"/>
      <c r="M20" s="5"/>
      <c r="N20" s="5"/>
      <c r="O20" s="5"/>
      <c r="P20" s="5"/>
    </row>
    <row r="21" spans="1:16" ht="22.05" customHeight="1">
      <c r="A21" s="5" t="s">
        <v>93</v>
      </c>
      <c r="B21" s="5" t="s">
        <v>94</v>
      </c>
      <c r="C21" s="5" t="s">
        <v>80</v>
      </c>
      <c r="D21" s="13">
        <v>3</v>
      </c>
      <c r="E21" s="13">
        <v>4</v>
      </c>
      <c r="F21" s="13">
        <v>4</v>
      </c>
      <c r="G21" s="5"/>
      <c r="H21" s="5"/>
      <c r="I21" s="5"/>
      <c r="J21" s="5"/>
      <c r="K21" s="5"/>
      <c r="L21" s="5"/>
      <c r="M21" s="5"/>
      <c r="N21" s="5"/>
      <c r="O21" s="5"/>
      <c r="P21" s="5"/>
    </row>
    <row r="22" spans="1:16" ht="22.05" customHeight="1">
      <c r="A22" s="5" t="s">
        <v>95</v>
      </c>
      <c r="B22" s="5" t="s">
        <v>96</v>
      </c>
      <c r="C22" s="5" t="s">
        <v>71</v>
      </c>
      <c r="D22" s="13">
        <v>8</v>
      </c>
      <c r="E22" s="13">
        <v>9</v>
      </c>
      <c r="F22" s="13">
        <v>7</v>
      </c>
      <c r="G22" s="5"/>
      <c r="H22" s="5"/>
      <c r="I22" s="5"/>
      <c r="J22" s="5"/>
      <c r="K22" s="5"/>
      <c r="L22" s="5"/>
      <c r="M22" s="5"/>
      <c r="N22" s="5"/>
      <c r="O22" s="5"/>
      <c r="P22" s="5"/>
    </row>
    <row r="23" spans="1:16" ht="22.05" customHeight="1">
      <c r="A23" s="5" t="s">
        <v>97</v>
      </c>
      <c r="B23" s="5" t="s">
        <v>98</v>
      </c>
      <c r="C23" s="5" t="s">
        <v>71</v>
      </c>
      <c r="D23" s="13">
        <v>7</v>
      </c>
      <c r="E23" s="13">
        <v>7</v>
      </c>
      <c r="F23" s="13">
        <v>6</v>
      </c>
      <c r="G23" s="5"/>
      <c r="H23" s="5"/>
      <c r="I23" s="5"/>
      <c r="J23" s="5"/>
      <c r="K23" s="5"/>
      <c r="L23" s="5"/>
      <c r="M23" s="5"/>
      <c r="N23" s="5"/>
      <c r="O23" s="5"/>
      <c r="P23" s="5"/>
    </row>
    <row r="24" spans="1:16" ht="22.05" customHeight="1">
      <c r="A24" s="5" t="s">
        <v>99</v>
      </c>
      <c r="B24" s="5" t="s">
        <v>100</v>
      </c>
      <c r="C24" s="5" t="s">
        <v>71</v>
      </c>
      <c r="D24" s="13">
        <v>8</v>
      </c>
      <c r="E24" s="13">
        <v>8</v>
      </c>
      <c r="F24" s="13">
        <v>8</v>
      </c>
      <c r="G24" s="5"/>
      <c r="H24" s="5"/>
      <c r="I24" s="5"/>
      <c r="J24" s="5"/>
      <c r="K24" s="5"/>
      <c r="L24" s="5"/>
      <c r="M24" s="5"/>
      <c r="N24" s="5"/>
      <c r="O24" s="5"/>
      <c r="P24" s="5"/>
    </row>
    <row r="25" spans="1:16" ht="22.05" customHeight="1">
      <c r="A25" s="5" t="s">
        <v>101</v>
      </c>
      <c r="B25" s="5" t="s">
        <v>102</v>
      </c>
      <c r="C25" s="5" t="s">
        <v>71</v>
      </c>
      <c r="D25" s="13">
        <v>5</v>
      </c>
      <c r="E25" s="13">
        <v>6</v>
      </c>
      <c r="F25" s="13">
        <v>6</v>
      </c>
      <c r="G25" s="5"/>
      <c r="H25" s="5"/>
      <c r="I25" s="5"/>
      <c r="J25" s="5"/>
      <c r="K25" s="5"/>
      <c r="L25" s="5"/>
      <c r="M25" s="5"/>
      <c r="N25" s="5"/>
      <c r="O25" s="5"/>
      <c r="P25" s="5"/>
    </row>
    <row r="26" spans="1:16" ht="22.05" customHeight="1">
      <c r="A26" s="5" t="s">
        <v>103</v>
      </c>
      <c r="B26" s="5" t="s">
        <v>104</v>
      </c>
      <c r="C26" s="5" t="s">
        <v>80</v>
      </c>
      <c r="D26" s="13">
        <v>7</v>
      </c>
      <c r="E26" s="13">
        <v>5</v>
      </c>
      <c r="F26" s="13">
        <v>6</v>
      </c>
      <c r="G26" s="5"/>
      <c r="H26" s="5"/>
      <c r="I26" s="5"/>
      <c r="J26" s="5"/>
      <c r="K26" s="5"/>
      <c r="L26" s="5"/>
      <c r="M26" s="5"/>
      <c r="N26" s="5"/>
      <c r="O26" s="5"/>
      <c r="P26" s="5"/>
    </row>
    <row r="27" spans="1:16" ht="22.05" customHeight="1">
      <c r="A27" s="5" t="s">
        <v>105</v>
      </c>
      <c r="B27" s="5" t="s">
        <v>106</v>
      </c>
      <c r="C27" s="5" t="s">
        <v>80</v>
      </c>
      <c r="D27" s="13">
        <v>9</v>
      </c>
      <c r="E27" s="13">
        <v>5</v>
      </c>
      <c r="F27" s="13">
        <v>7</v>
      </c>
      <c r="G27" s="5"/>
      <c r="H27" s="5"/>
      <c r="I27" s="5"/>
      <c r="J27" s="5"/>
      <c r="K27" s="5"/>
      <c r="L27" s="5"/>
      <c r="M27" s="5"/>
      <c r="N27" s="5"/>
      <c r="O27" s="5"/>
      <c r="P27" s="5"/>
    </row>
    <row r="28" spans="1:16" ht="22.05" customHeight="1">
      <c r="A28" s="5" t="s">
        <v>107</v>
      </c>
      <c r="B28" s="5" t="s">
        <v>108</v>
      </c>
      <c r="C28" s="5" t="s">
        <v>71</v>
      </c>
      <c r="D28" s="13">
        <v>6</v>
      </c>
      <c r="E28" s="13">
        <v>5</v>
      </c>
      <c r="F28" s="13">
        <v>7</v>
      </c>
      <c r="G28" s="5"/>
      <c r="H28" s="5"/>
      <c r="I28" s="5"/>
      <c r="J28" s="5"/>
      <c r="K28" s="5"/>
      <c r="L28" s="5"/>
      <c r="M28" s="5"/>
      <c r="N28" s="5"/>
      <c r="O28" s="5"/>
      <c r="P28" s="5"/>
    </row>
    <row r="29" spans="1:16" ht="22.05" customHeight="1">
      <c r="A29" s="5" t="s">
        <v>109</v>
      </c>
      <c r="B29" s="5" t="s">
        <v>110</v>
      </c>
      <c r="C29" s="5" t="s">
        <v>71</v>
      </c>
      <c r="D29" s="13">
        <v>7</v>
      </c>
      <c r="E29" s="13">
        <v>7</v>
      </c>
      <c r="F29" s="13">
        <v>7</v>
      </c>
      <c r="G29" s="5"/>
      <c r="H29" s="5"/>
      <c r="I29" s="5"/>
      <c r="J29" s="5"/>
      <c r="K29" s="5"/>
      <c r="L29" s="5"/>
      <c r="M29" s="5"/>
      <c r="N29" s="5"/>
      <c r="O29" s="5"/>
      <c r="P29" s="5"/>
    </row>
    <row r="30" spans="1:16" ht="22.05" customHeight="1">
      <c r="A30" s="5" t="s">
        <v>111</v>
      </c>
      <c r="B30" s="5" t="s">
        <v>112</v>
      </c>
      <c r="C30" s="5" t="s">
        <v>71</v>
      </c>
      <c r="D30" s="13">
        <v>9</v>
      </c>
      <c r="E30" s="13">
        <v>8</v>
      </c>
      <c r="F30" s="13">
        <v>6</v>
      </c>
      <c r="G30" s="5"/>
      <c r="H30" s="5"/>
      <c r="I30" s="5"/>
      <c r="J30" s="5"/>
      <c r="K30" s="5"/>
      <c r="L30" s="5"/>
      <c r="M30" s="5"/>
      <c r="N30" s="5"/>
      <c r="O30" s="5"/>
      <c r="P30" s="5"/>
    </row>
    <row r="31" spans="1:16" ht="22.05" customHeight="1">
      <c r="A31" s="5" t="s">
        <v>113</v>
      </c>
      <c r="B31" s="5" t="s">
        <v>114</v>
      </c>
      <c r="C31" s="5" t="s">
        <v>71</v>
      </c>
      <c r="D31" s="13">
        <v>6</v>
      </c>
      <c r="E31" s="13">
        <v>6</v>
      </c>
      <c r="F31" s="13">
        <v>7</v>
      </c>
      <c r="G31" s="5"/>
      <c r="H31" s="5"/>
      <c r="I31" s="5"/>
      <c r="J31" s="5"/>
      <c r="K31" s="5"/>
      <c r="L31" s="5"/>
      <c r="M31" s="5"/>
      <c r="N31" s="5"/>
      <c r="O31" s="5"/>
      <c r="P31" s="5"/>
    </row>
    <row r="32" spans="1:16" ht="22.05" customHeight="1">
      <c r="A32" s="5" t="s">
        <v>115</v>
      </c>
      <c r="B32" s="5" t="s">
        <v>116</v>
      </c>
      <c r="C32" s="5" t="s">
        <v>80</v>
      </c>
      <c r="D32" s="13">
        <v>7</v>
      </c>
      <c r="E32" s="13">
        <v>8</v>
      </c>
      <c r="F32" s="13">
        <v>7</v>
      </c>
      <c r="G32" s="5"/>
      <c r="H32" s="5"/>
      <c r="I32" s="5"/>
      <c r="J32" s="5"/>
      <c r="K32" s="5"/>
      <c r="L32" s="5"/>
      <c r="M32" s="5"/>
      <c r="N32" s="5"/>
      <c r="O32" s="5"/>
      <c r="P32" s="5"/>
    </row>
    <row r="33" spans="1:16" ht="22.05" customHeight="1">
      <c r="A33" s="5" t="s">
        <v>117</v>
      </c>
      <c r="B33" s="5" t="s">
        <v>118</v>
      </c>
      <c r="C33" s="5" t="s">
        <v>80</v>
      </c>
      <c r="D33" s="13">
        <v>4</v>
      </c>
      <c r="E33" s="13">
        <v>8</v>
      </c>
      <c r="F33" s="13">
        <v>7</v>
      </c>
      <c r="G33" s="5"/>
      <c r="H33" s="5"/>
      <c r="I33" s="5"/>
      <c r="J33" s="5"/>
      <c r="K33" s="5"/>
      <c r="L33" s="5"/>
      <c r="M33" s="5"/>
      <c r="N33" s="5"/>
      <c r="O33" s="5"/>
      <c r="P33" s="5"/>
    </row>
    <row r="34" spans="1:16" ht="22.05" customHeight="1">
      <c r="A34" s="5"/>
      <c r="B34" s="5"/>
      <c r="C34" s="5"/>
      <c r="D34" s="5"/>
      <c r="E34" s="5"/>
      <c r="F34" s="5"/>
      <c r="G34" s="5"/>
      <c r="H34" s="5"/>
      <c r="I34" s="5"/>
      <c r="J34" s="5"/>
      <c r="K34" s="5"/>
      <c r="L34" s="5"/>
      <c r="M34" s="5"/>
      <c r="N34" s="5"/>
      <c r="O34" s="5"/>
      <c r="P34" s="5"/>
    </row>
    <row r="35" spans="1:16" ht="22.05" customHeight="1">
      <c r="A35" s="5"/>
      <c r="B35" s="5"/>
      <c r="C35" s="5"/>
      <c r="D35" s="5"/>
      <c r="E35" s="5"/>
      <c r="F35" s="5"/>
      <c r="G35" s="5"/>
      <c r="H35" s="5"/>
      <c r="I35" s="5"/>
      <c r="J35" s="5"/>
      <c r="K35" s="5"/>
      <c r="L35" s="5"/>
      <c r="M35" s="5"/>
      <c r="N35" s="5"/>
      <c r="O35" s="5"/>
      <c r="P35" s="5"/>
    </row>
    <row r="36" spans="1:16" ht="22.05" customHeight="1">
      <c r="A36" s="5"/>
      <c r="B36" s="5"/>
      <c r="C36" s="5"/>
      <c r="D36" s="5"/>
      <c r="E36" s="5"/>
      <c r="F36" s="5"/>
      <c r="G36" s="5"/>
      <c r="H36" s="5"/>
      <c r="I36" s="5"/>
      <c r="J36" s="5"/>
      <c r="K36" s="5"/>
      <c r="L36" s="5"/>
      <c r="M36" s="5"/>
      <c r="N36" s="5"/>
      <c r="O36" s="5"/>
      <c r="P36" s="5"/>
    </row>
    <row r="37" spans="1:16" ht="22.05" customHeight="1">
      <c r="A37" s="5"/>
      <c r="B37" s="5"/>
      <c r="C37" s="5"/>
      <c r="D37" s="5"/>
      <c r="E37" s="5"/>
      <c r="F37" s="5"/>
      <c r="G37" s="5"/>
      <c r="H37" s="5"/>
      <c r="I37" s="5"/>
      <c r="J37" s="5"/>
      <c r="K37" s="5"/>
      <c r="L37" s="5"/>
      <c r="M37" s="5"/>
      <c r="N37" s="5"/>
      <c r="O37" s="5"/>
      <c r="P37" s="5"/>
    </row>
    <row r="38" spans="1:16" ht="22.05" customHeight="1">
      <c r="A38" s="5"/>
      <c r="B38" s="5"/>
      <c r="C38" s="5"/>
      <c r="D38" s="5"/>
      <c r="E38" s="5"/>
      <c r="F38" s="5"/>
      <c r="G38" s="5"/>
      <c r="H38" s="5"/>
      <c r="I38" s="5"/>
      <c r="J38" s="5"/>
      <c r="K38" s="5"/>
      <c r="L38" s="5"/>
      <c r="M38" s="5"/>
      <c r="N38" s="5"/>
      <c r="O38" s="5"/>
      <c r="P38" s="5"/>
    </row>
    <row r="39" spans="1:16" ht="22.05" customHeight="1">
      <c r="A39" s="5"/>
      <c r="B39" s="5"/>
      <c r="C39" s="5"/>
      <c r="D39" s="5"/>
      <c r="E39" s="5"/>
      <c r="F39" s="5"/>
      <c r="G39" s="5"/>
      <c r="H39" s="5"/>
      <c r="I39" s="5"/>
      <c r="J39" s="5"/>
      <c r="K39" s="5"/>
      <c r="L39" s="5"/>
      <c r="M39" s="5"/>
      <c r="N39" s="5"/>
      <c r="O39" s="5"/>
      <c r="P39" s="5"/>
    </row>
    <row r="40" spans="1:16" ht="22.05" customHeight="1">
      <c r="A40" s="5"/>
      <c r="B40" s="5"/>
      <c r="C40" s="5"/>
      <c r="D40" s="5"/>
      <c r="E40" s="5"/>
      <c r="F40" s="5"/>
      <c r="G40" s="5"/>
      <c r="H40" s="5"/>
      <c r="I40" s="5"/>
      <c r="J40" s="5"/>
      <c r="K40" s="5"/>
      <c r="L40" s="5"/>
      <c r="M40" s="5"/>
      <c r="N40" s="5"/>
      <c r="O40" s="5"/>
      <c r="P40" s="5"/>
    </row>
    <row r="41" spans="1:16" ht="22.05" customHeight="1">
      <c r="A41" s="5"/>
      <c r="B41" s="5"/>
      <c r="C41" s="5"/>
      <c r="D41" s="5"/>
      <c r="E41" s="5"/>
      <c r="F41" s="5"/>
      <c r="G41" s="5"/>
      <c r="H41" s="5"/>
      <c r="I41" s="5"/>
      <c r="J41" s="5"/>
      <c r="K41" s="5"/>
      <c r="L41" s="5"/>
      <c r="M41" s="5"/>
      <c r="N41" s="5"/>
      <c r="O41" s="5"/>
      <c r="P41" s="5"/>
    </row>
    <row r="42" spans="1:16" ht="22.05" customHeight="1">
      <c r="A42" s="5"/>
      <c r="B42" s="5"/>
      <c r="C42" s="5"/>
      <c r="D42" s="5"/>
      <c r="E42" s="5"/>
      <c r="F42" s="5"/>
      <c r="G42" s="5"/>
      <c r="H42" s="5"/>
      <c r="I42" s="5"/>
      <c r="J42" s="5"/>
      <c r="K42" s="5"/>
      <c r="L42" s="5"/>
      <c r="M42" s="5"/>
      <c r="N42" s="5"/>
      <c r="O42" s="5"/>
      <c r="P42" s="5"/>
    </row>
    <row r="43" spans="1:16" ht="22.05" customHeight="1">
      <c r="A43" s="5"/>
      <c r="B43" s="5"/>
      <c r="C43" s="5"/>
      <c r="D43" s="5"/>
      <c r="E43" s="5"/>
      <c r="F43" s="5"/>
      <c r="G43" s="5"/>
      <c r="H43" s="5"/>
      <c r="I43" s="5"/>
      <c r="J43" s="5"/>
      <c r="K43" s="5"/>
      <c r="L43" s="5"/>
      <c r="M43" s="5"/>
      <c r="N43" s="5"/>
      <c r="O43" s="5"/>
      <c r="P43" s="5"/>
    </row>
    <row r="44" spans="1:16" ht="22.05" customHeight="1">
      <c r="A44" s="5"/>
      <c r="B44" s="5"/>
      <c r="C44" s="5"/>
      <c r="D44" s="5"/>
      <c r="E44" s="5"/>
      <c r="F44" s="5"/>
      <c r="G44" s="5"/>
      <c r="H44" s="5"/>
      <c r="I44" s="5"/>
      <c r="J44" s="5"/>
      <c r="K44" s="5"/>
      <c r="L44" s="5"/>
      <c r="M44" s="5"/>
      <c r="N44" s="5"/>
      <c r="O44" s="5"/>
      <c r="P44" s="5"/>
    </row>
    <row r="45" spans="1:16" ht="22.05" customHeight="1">
      <c r="A45" s="5"/>
      <c r="B45" s="5"/>
      <c r="C45" s="5"/>
      <c r="D45" s="5"/>
      <c r="E45" s="5"/>
      <c r="F45" s="5"/>
      <c r="G45" s="5"/>
      <c r="H45" s="5"/>
      <c r="I45" s="5"/>
      <c r="J45" s="5"/>
      <c r="K45" s="5"/>
      <c r="L45" s="5"/>
      <c r="M45" s="5"/>
      <c r="N45" s="5"/>
      <c r="O45" s="5"/>
      <c r="P45" s="5"/>
    </row>
    <row r="46" spans="1:16" ht="22.05" customHeight="1">
      <c r="A46" s="5"/>
      <c r="B46" s="5"/>
      <c r="C46" s="5"/>
      <c r="D46" s="5"/>
      <c r="E46" s="5"/>
      <c r="F46" s="5"/>
      <c r="G46" s="5"/>
      <c r="H46" s="5"/>
      <c r="I46" s="5"/>
      <c r="J46" s="5"/>
      <c r="K46" s="5"/>
      <c r="L46" s="5"/>
      <c r="M46" s="5"/>
      <c r="N46" s="5"/>
      <c r="O46" s="5"/>
      <c r="P46" s="5"/>
    </row>
    <row r="47" spans="1:16" ht="22.05" customHeight="1">
      <c r="A47" s="5"/>
      <c r="B47" s="5"/>
      <c r="C47" s="5"/>
      <c r="D47" s="5"/>
      <c r="E47" s="5"/>
      <c r="F47" s="5"/>
      <c r="G47" s="5"/>
      <c r="H47" s="5"/>
      <c r="I47" s="5"/>
      <c r="J47" s="5"/>
      <c r="K47" s="5"/>
      <c r="L47" s="5"/>
      <c r="M47" s="5"/>
      <c r="N47" s="5"/>
      <c r="O47" s="5"/>
      <c r="P47" s="5"/>
    </row>
    <row r="48" spans="1:16" ht="22.05" customHeight="1">
      <c r="A48" s="5"/>
      <c r="B48" s="5"/>
      <c r="C48" s="5"/>
      <c r="D48" s="5"/>
      <c r="E48" s="5"/>
      <c r="F48" s="5"/>
      <c r="G48" s="5"/>
      <c r="H48" s="5"/>
      <c r="I48" s="5"/>
      <c r="J48" s="5"/>
      <c r="K48" s="5"/>
      <c r="L48" s="5"/>
      <c r="M48" s="5"/>
      <c r="N48" s="5"/>
      <c r="O48" s="5"/>
      <c r="P48" s="5"/>
    </row>
    <row r="49" spans="1:16" ht="22.05" customHeight="1">
      <c r="A49" s="5"/>
      <c r="B49" s="5"/>
      <c r="C49" s="5"/>
      <c r="D49" s="5"/>
      <c r="E49" s="5"/>
      <c r="F49" s="5"/>
      <c r="G49" s="5"/>
      <c r="H49" s="5"/>
      <c r="I49" s="5"/>
      <c r="J49" s="5"/>
      <c r="K49" s="5"/>
      <c r="L49" s="5"/>
      <c r="M49" s="5"/>
      <c r="N49" s="5"/>
      <c r="O49" s="5"/>
      <c r="P49" s="5"/>
    </row>
    <row r="50" spans="1:16" ht="22.05" customHeight="1">
      <c r="A50" s="5"/>
      <c r="B50" s="5"/>
      <c r="C50" s="5"/>
      <c r="D50" s="5"/>
      <c r="E50" s="5"/>
      <c r="F50" s="5"/>
      <c r="G50" s="5"/>
      <c r="H50" s="5"/>
      <c r="I50" s="5"/>
      <c r="J50" s="5"/>
      <c r="K50" s="5"/>
      <c r="L50" s="5"/>
      <c r="M50" s="5"/>
      <c r="N50" s="5"/>
      <c r="O50" s="5"/>
      <c r="P50" s="5"/>
    </row>
  </sheetData>
  <conditionalFormatting sqref="D4:F33">
    <cfRule type="expression" dxfId="0" priority="1">
      <formula>OR(NOT(ISNUMBER(D4)),D4&lt;1,D4&gt;9,MOD(D4,1)&lt;&gt;0)</formula>
    </cfRule>
  </conditionalFormatting>
  <dataValidations count="1">
    <dataValidation type="whole" sqref="D4:F33">
      <formula1>1</formula1>
      <formula2>9</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Итоги</vt:lpstr>
      <vt:lpstr>Расчёт</vt:lpstr>
      <vt:lpstr>Ответы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osfraulein</dc:creator>
  <cp:lastModifiedBy>osfraulein</cp:lastModifiedBy>
  <dcterms:created xsi:type="dcterms:W3CDTF">2026-10-10T19:39:59Z</dcterms:created>
  <dcterms:modified xsi:type="dcterms:W3CDTF">2026-10-10T19:51:41Z</dcterms:modified>
</cp:coreProperties>
</file>