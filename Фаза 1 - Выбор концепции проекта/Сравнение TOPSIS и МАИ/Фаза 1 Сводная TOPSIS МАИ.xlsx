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вуз\магистратура\проектный менеджмент\"/>
    </mc:Choice>
  </mc:AlternateContent>
  <bookViews>
    <workbookView xWindow="0" yWindow="0" windowWidth="23040" windowHeight="7848" activeTab="1"/>
  </bookViews>
  <sheets>
    <sheet name="Сравнение" sheetId="1" r:id="rId1"/>
    <sheet name="Исходные итоги" sheetId="2" r:id="rId2"/>
  </sheets>
  <calcPr calcId="162913"/>
</workbook>
</file>

<file path=xl/calcChain.xml><?xml version="1.0" encoding="utf-8"?>
<calcChain xmlns="http://schemas.openxmlformats.org/spreadsheetml/2006/main">
  <c r="E21" i="1" l="1"/>
  <c r="D21" i="1"/>
  <c r="C21" i="1"/>
  <c r="B21" i="1"/>
  <c r="F21" i="1" s="1"/>
  <c r="A21" i="1"/>
  <c r="E20" i="1"/>
  <c r="D20" i="1"/>
  <c r="C20" i="1"/>
  <c r="B20" i="1"/>
  <c r="F20" i="1" s="1"/>
  <c r="A20" i="1"/>
  <c r="E19" i="1"/>
  <c r="D19" i="1"/>
  <c r="C19" i="1"/>
  <c r="B19" i="1"/>
  <c r="F19" i="1" s="1"/>
  <c r="A19" i="1"/>
  <c r="E18" i="1"/>
  <c r="D18" i="1"/>
  <c r="C18" i="1"/>
  <c r="B18" i="1"/>
  <c r="F18" i="1" s="1"/>
  <c r="A18" i="1"/>
  <c r="E17" i="1"/>
  <c r="D17" i="1"/>
  <c r="C17" i="1"/>
  <c r="B17" i="1"/>
  <c r="F17" i="1" s="1"/>
  <c r="A17" i="1"/>
  <c r="E16" i="1"/>
  <c r="D16" i="1"/>
  <c r="C16" i="1"/>
  <c r="B16" i="1"/>
  <c r="F16" i="1" s="1"/>
  <c r="A16" i="1"/>
  <c r="E15" i="1"/>
  <c r="D15" i="1"/>
  <c r="C15" i="1"/>
  <c r="B15" i="1"/>
  <c r="F15" i="1" s="1"/>
  <c r="A15" i="1"/>
  <c r="E8" i="1"/>
  <c r="F8" i="1" s="1"/>
  <c r="C8" i="1"/>
  <c r="D8" i="1" s="1"/>
  <c r="B8" i="1"/>
  <c r="A8" i="1"/>
  <c r="F7" i="1"/>
  <c r="E7" i="1"/>
  <c r="C7" i="1"/>
  <c r="D7" i="1" s="1"/>
  <c r="G7" i="1" s="1"/>
  <c r="H7" i="1" s="1"/>
  <c r="B7" i="1"/>
  <c r="A7" i="1"/>
  <c r="F6" i="1"/>
  <c r="E6" i="1"/>
  <c r="C6" i="1"/>
  <c r="D6" i="1" s="1"/>
  <c r="B6" i="1"/>
  <c r="A6" i="1"/>
  <c r="F5" i="1"/>
  <c r="E5" i="1"/>
  <c r="C5" i="1"/>
  <c r="D5" i="1" s="1"/>
  <c r="G5" i="1" s="1"/>
  <c r="H5" i="1" s="1"/>
  <c r="B5" i="1"/>
  <c r="A5" i="1"/>
  <c r="C2" i="1" l="1"/>
  <c r="G6" i="1"/>
  <c r="H6" i="1" s="1"/>
  <c r="G8" i="1"/>
  <c r="H8" i="1" s="1"/>
</calcChain>
</file>

<file path=xl/sharedStrings.xml><?xml version="1.0" encoding="utf-8"?>
<sst xmlns="http://schemas.openxmlformats.org/spreadsheetml/2006/main" count="56" uniqueCount="36">
  <si>
    <t>Лидер двух методов</t>
  </si>
  <si>
    <t>Концепция</t>
  </si>
  <si>
    <t>Название</t>
  </si>
  <si>
    <t>CC TOPSIS</t>
  </si>
  <si>
    <t>Место TOPSIS</t>
  </si>
  <si>
    <t>Приоритет МАИ</t>
  </si>
  <si>
    <t>Место МАИ</t>
  </si>
  <si>
    <t>Разница мест: TOPSIS − МАИ</t>
  </si>
  <si>
    <t>Сравнение мест</t>
  </si>
  <si>
    <t>Согласованность МАИ</t>
  </si>
  <si>
    <t>Матрица</t>
  </si>
  <si>
    <t>Недикова: CR</t>
  </si>
  <si>
    <t>Символокова: CR</t>
  </si>
  <si>
    <t>Бредихин: CR</t>
  </si>
  <si>
    <t>Коллективный CR</t>
  </si>
  <si>
    <t>Проверка CR ≤ 0,10</t>
  </si>
  <si>
    <t>Исходные результаты двух методов</t>
  </si>
  <si>
    <t>Код</t>
  </si>
  <si>
    <t>A1</t>
  </si>
  <si>
    <t>A2</t>
  </si>
  <si>
    <t>A3</t>
  </si>
  <si>
    <t>A4</t>
  </si>
  <si>
    <t>Корпоративный ассистент продуктивности и благополучия</t>
  </si>
  <si>
    <t>Система автоматизации внутренних заявок и сервисных запросов</t>
  </si>
  <si>
    <t>Корпоративный портал обучения и адаптации сотрудников</t>
  </si>
  <si>
    <t>Система оптимизации графика смен и загрузки персонала</t>
  </si>
  <si>
    <t>Критерии</t>
  </si>
  <si>
    <t>C1</t>
  </si>
  <si>
    <t>C2</t>
  </si>
  <si>
    <t>C3</t>
  </si>
  <si>
    <t>C4</t>
  </si>
  <si>
    <t>C5</t>
  </si>
  <si>
    <t>C6</t>
  </si>
  <si>
    <t>Оба метода выделили А2 как лидера и А3 как вторую концепцию. TOPSIS поставил А4 выше А1, а МАИ – А1 выше А4. Коллективные CR ниже 0,10, но индивидуальные сравнения требуют проверки: у Бредихина – критерии, C1, C2, C3 и C6; у Недиковой –  C6. После пересмотра этих сравнений следует обновить расчёт МАИ и сводную таблицу.</t>
  </si>
  <si>
    <t>Численные оценки двух методов имеют разный смысл: CC TOPSIS – коэффициент близости, приоритет МАИ –  нормированная доля предпочтительности. Для сравнения используются места концепций. Общий балл и среднее двух оценок не рассчитываются.</t>
  </si>
  <si>
    <t>Фаза 1 –  сравнение TOPSIS и МАИ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</si>
</sst>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6">
    <font>
      <sz val="11"/>
      <name val="Carlito"/>
    </font>
    <font>
      <sz val="11"/>
      <name val="Carlito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name val="Carlito"/>
    </font>
    <font>
      <b/>
      <sz val="18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E7E7E7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0" borderId="0" xfId="1" applyNumberFormat="1" applyFont="1" applyFill="1" applyBorder="1" applyAlignment="1">
      <alignment vertical="center"/>
    </xf>
    <xf numFmtId="0" fontId="4" fillId="0" borderId="0" xfId="0" applyFont="1"/>
    <xf numFmtId="0" fontId="2" fillId="2" borderId="0" xfId="1" applyNumberFormat="1" applyFont="1" applyFill="1" applyBorder="1" applyAlignment="1">
      <alignment horizontal="center" vertical="center" wrapText="1"/>
    </xf>
    <xf numFmtId="0" fontId="3" fillId="0" borderId="0" xfId="1" applyNumberFormat="1" applyFont="1" applyFill="1" applyBorder="1" applyAlignment="1">
      <alignment vertical="center" wrapText="1"/>
    </xf>
    <xf numFmtId="164" fontId="3" fillId="0" borderId="0" xfId="1" applyNumberFormat="1" applyFont="1" applyFill="1" applyBorder="1" applyAlignment="1">
      <alignment vertical="center"/>
    </xf>
    <xf numFmtId="0" fontId="3" fillId="0" borderId="0" xfId="1" applyNumberFormat="1" applyFont="1" applyFill="1" applyBorder="1" applyAlignment="1">
      <alignment vertical="center" wrapText="1"/>
    </xf>
    <xf numFmtId="0" fontId="3" fillId="3" borderId="0" xfId="1" applyNumberFormat="1" applyFont="1" applyFill="1" applyBorder="1" applyAlignment="1">
      <alignment vertical="center"/>
    </xf>
    <xf numFmtId="0" fontId="3" fillId="3" borderId="0" xfId="1" applyNumberFormat="1" applyFont="1" applyFill="1" applyBorder="1" applyAlignment="1">
      <alignment vertical="center" wrapText="1"/>
    </xf>
    <xf numFmtId="164" fontId="3" fillId="3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3" fillId="0" borderId="0" xfId="1" applyNumberFormat="1" applyFont="1" applyFill="1" applyBorder="1" applyAlignment="1">
      <alignment vertical="center" wrapText="1"/>
    </xf>
  </cellXfs>
  <cellStyles count="2">
    <cellStyle name="Normal" xfId="1"/>
    <cellStyle name="Обычный" xfId="0" builtinId="0"/>
  </cellStyles>
  <dxfs count="2">
    <dxf>
      <font>
        <color rgb="FFA02020"/>
      </font>
      <fill>
        <patternFill patternType="solid">
          <bgColor rgb="FFFCE0DE"/>
        </patternFill>
      </fill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zoomScale="76" workbookViewId="0">
      <selection activeCell="B9" sqref="B9"/>
    </sheetView>
  </sheetViews>
  <sheetFormatPr defaultRowHeight="17.399999999999999"/>
  <cols>
    <col min="1" max="1" width="15" style="2" customWidth="1"/>
    <col min="2" max="2" width="56" style="2" customWidth="1"/>
    <col min="3" max="6" width="19" style="2" customWidth="1"/>
    <col min="7" max="7" width="23" style="2" customWidth="1"/>
    <col min="8" max="8" width="19" style="2" customWidth="1"/>
    <col min="9" max="16384" width="8.796875" style="2"/>
  </cols>
  <sheetData>
    <row r="1" spans="1:8" ht="24" customHeight="1">
      <c r="A1" s="10" t="s">
        <v>35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0</v>
      </c>
      <c r="B2" s="1"/>
      <c r="C2" s="1" t="str">
        <f>IF(AND(D6=1,F6=1),B6,"Проверьте места концепций")</f>
        <v>Система автоматизации внутренних заявок и сервисных запросов</v>
      </c>
      <c r="D2" s="1"/>
      <c r="E2" s="1"/>
      <c r="F2" s="1"/>
      <c r="G2" s="1"/>
      <c r="H2" s="1"/>
    </row>
    <row r="3" spans="1:8" ht="24" customHeight="1">
      <c r="A3" s="1"/>
      <c r="B3" s="1"/>
      <c r="C3" s="1"/>
      <c r="D3" s="1"/>
      <c r="E3" s="1"/>
      <c r="F3" s="1"/>
      <c r="G3" s="1"/>
      <c r="H3" s="1"/>
    </row>
    <row r="4" spans="1:8" ht="54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 ht="42" customHeight="1">
      <c r="A5" s="1" t="str">
        <f>'Исходные итоги'!A5</f>
        <v>A1</v>
      </c>
      <c r="B5" s="4" t="str">
        <f>'Исходные итоги'!B5</f>
        <v>Корпоративный ассистент продуктивности и благополучия</v>
      </c>
      <c r="C5" s="5">
        <f>'Исходные итоги'!C5</f>
        <v>0.34461491002146843</v>
      </c>
      <c r="D5" s="1">
        <f>1+COUNTIF($C$5:$C$8,"&gt;"&amp;C5)</f>
        <v>4</v>
      </c>
      <c r="E5" s="5">
        <f>'Исходные итоги'!C12</f>
        <v>0.17550953855888818</v>
      </c>
      <c r="F5" s="1">
        <f>1+COUNTIF($E$5:$E$8,"&gt;"&amp;E5)</f>
        <v>3</v>
      </c>
      <c r="G5" s="1">
        <f>D5-F5</f>
        <v>1</v>
      </c>
      <c r="H5" s="1" t="str">
        <f>IF(G5=0,"Совпадают","Различаются")</f>
        <v>Различаются</v>
      </c>
    </row>
    <row r="6" spans="1:8" ht="42" customHeight="1">
      <c r="A6" s="1" t="str">
        <f>'Исходные итоги'!A6</f>
        <v>A2</v>
      </c>
      <c r="B6" s="4" t="str">
        <f>'Исходные итоги'!B6</f>
        <v>Система автоматизации внутренних заявок и сервисных запросов</v>
      </c>
      <c r="C6" s="5">
        <f>'Исходные итоги'!C6</f>
        <v>0.67141952800967342</v>
      </c>
      <c r="D6" s="1">
        <f>1+COUNTIF($C$5:$C$8,"&gt;"&amp;C6)</f>
        <v>1</v>
      </c>
      <c r="E6" s="5">
        <f>'Исходные итоги'!C13</f>
        <v>0.44093762051790941</v>
      </c>
      <c r="F6" s="1">
        <f>1+COUNTIF($E$5:$E$8,"&gt;"&amp;E6)</f>
        <v>1</v>
      </c>
      <c r="G6" s="1">
        <f>D6-F6</f>
        <v>0</v>
      </c>
      <c r="H6" s="1" t="str">
        <f>IF(G6=0,"Совпадают","Различаются")</f>
        <v>Совпадают</v>
      </c>
    </row>
    <row r="7" spans="1:8" ht="42" customHeight="1">
      <c r="A7" s="1" t="str">
        <f>'Исходные итоги'!A7</f>
        <v>A3</v>
      </c>
      <c r="B7" s="4" t="str">
        <f>'Исходные итоги'!B7</f>
        <v>Корпоративный портал обучения и адаптации сотрудников</v>
      </c>
      <c r="C7" s="5">
        <f>'Исходные итоги'!C7</f>
        <v>0.40975765126529728</v>
      </c>
      <c r="D7" s="1">
        <f>1+COUNTIF($C$5:$C$8,"&gt;"&amp;C7)</f>
        <v>2</v>
      </c>
      <c r="E7" s="5">
        <f>'Исходные итоги'!C14</f>
        <v>0.22638832435624107</v>
      </c>
      <c r="F7" s="1">
        <f>1+COUNTIF($E$5:$E$8,"&gt;"&amp;E7)</f>
        <v>2</v>
      </c>
      <c r="G7" s="1">
        <f>D7-F7</f>
        <v>0</v>
      </c>
      <c r="H7" s="1" t="str">
        <f>IF(G7=0,"Совпадают","Различаются")</f>
        <v>Совпадают</v>
      </c>
    </row>
    <row r="8" spans="1:8" ht="42" customHeight="1">
      <c r="A8" s="1" t="str">
        <f>'Исходные итоги'!A8</f>
        <v>A4</v>
      </c>
      <c r="B8" s="4" t="str">
        <f>'Исходные итоги'!B8</f>
        <v>Система оптимизации графика смен и загрузки персонала</v>
      </c>
      <c r="C8" s="5">
        <f>'Исходные итоги'!C8</f>
        <v>0.37395215727700121</v>
      </c>
      <c r="D8" s="1">
        <f>1+COUNTIF($C$5:$C$8,"&gt;"&amp;C8)</f>
        <v>3</v>
      </c>
      <c r="E8" s="5">
        <f>'Исходные итоги'!C15</f>
        <v>0.15716451656696134</v>
      </c>
      <c r="F8" s="1">
        <f>1+COUNTIF($E$5:$E$8,"&gt;"&amp;E8)</f>
        <v>4</v>
      </c>
      <c r="G8" s="1">
        <f>D8-F8</f>
        <v>-1</v>
      </c>
      <c r="H8" s="1" t="str">
        <f>IF(G8=0,"Совпадают","Различаются")</f>
        <v>Различаются</v>
      </c>
    </row>
    <row r="9" spans="1:8" ht="24" customHeight="1">
      <c r="A9" s="1"/>
      <c r="B9" s="1"/>
      <c r="C9" s="1"/>
      <c r="D9" s="1"/>
      <c r="E9" s="1"/>
      <c r="F9" s="1"/>
      <c r="G9" s="1"/>
      <c r="H9" s="1"/>
    </row>
    <row r="10" spans="1:8" ht="28.05" customHeight="1">
      <c r="A10" s="11" t="s">
        <v>34</v>
      </c>
      <c r="B10" s="11"/>
      <c r="C10" s="11"/>
      <c r="D10" s="11"/>
      <c r="E10" s="11"/>
      <c r="F10" s="11"/>
      <c r="G10" s="11"/>
      <c r="H10" s="11"/>
    </row>
    <row r="11" spans="1:8" ht="28.05" customHeight="1">
      <c r="A11" s="11"/>
      <c r="B11" s="11"/>
      <c r="C11" s="11"/>
      <c r="D11" s="11"/>
      <c r="E11" s="11"/>
      <c r="F11" s="11"/>
      <c r="G11" s="11"/>
      <c r="H11" s="11"/>
    </row>
    <row r="12" spans="1:8" ht="24" customHeight="1">
      <c r="A12" s="1"/>
      <c r="B12" s="1"/>
      <c r="C12" s="1"/>
      <c r="D12" s="1"/>
      <c r="E12" s="1"/>
      <c r="F12" s="1"/>
      <c r="G12" s="1"/>
      <c r="H12" s="1"/>
    </row>
    <row r="13" spans="1:8" ht="24" customHeight="1">
      <c r="A13" s="10" t="s">
        <v>9</v>
      </c>
      <c r="B13" s="1"/>
      <c r="C13" s="1"/>
      <c r="D13" s="1"/>
      <c r="E13" s="1"/>
      <c r="F13" s="1"/>
      <c r="G13" s="1"/>
      <c r="H13" s="1"/>
    </row>
    <row r="14" spans="1:8" ht="40.049999999999997" customHeight="1">
      <c r="A14" s="3" t="s">
        <v>10</v>
      </c>
      <c r="B14" s="3" t="s">
        <v>11</v>
      </c>
      <c r="C14" s="3" t="s">
        <v>12</v>
      </c>
      <c r="D14" s="3" t="s">
        <v>13</v>
      </c>
      <c r="E14" s="3" t="s">
        <v>14</v>
      </c>
      <c r="F14" s="3" t="s">
        <v>15</v>
      </c>
      <c r="G14" s="1"/>
      <c r="H14" s="1"/>
    </row>
    <row r="15" spans="1:8" ht="24" customHeight="1">
      <c r="A15" s="1" t="str">
        <f>'Исходные итоги'!A19</f>
        <v>Критерии</v>
      </c>
      <c r="B15" s="5">
        <f>'Исходные итоги'!B19</f>
        <v>7.4508291449322098E-2</v>
      </c>
      <c r="C15" s="5">
        <f>'Исходные итоги'!C19</f>
        <v>7.0400613463059772E-3</v>
      </c>
      <c r="D15" s="5">
        <f>'Исходные итоги'!D19</f>
        <v>0.11365526607547044</v>
      </c>
      <c r="E15" s="5">
        <f>'Исходные итоги'!E19</f>
        <v>2.4787163162106142E-2</v>
      </c>
      <c r="F15" s="1" t="str">
        <f t="shared" ref="F15:F21" si="0">IF(MAX(B15:E15)&lt;=0.1,"В пределах порога","Есть превышение")</f>
        <v>Есть превышение</v>
      </c>
      <c r="G15" s="1"/>
      <c r="H15" s="1"/>
    </row>
    <row r="16" spans="1:8" ht="24" customHeight="1">
      <c r="A16" s="1" t="str">
        <f>'Исходные итоги'!A20</f>
        <v>C1</v>
      </c>
      <c r="B16" s="5">
        <f>'Исходные итоги'!B20</f>
        <v>4.2474731047176459E-2</v>
      </c>
      <c r="C16" s="5">
        <f>'Исходные итоги'!C20</f>
        <v>0</v>
      </c>
      <c r="D16" s="5">
        <f>'Исходные итоги'!D20</f>
        <v>0.16393731068661685</v>
      </c>
      <c r="E16" s="5">
        <f>'Исходные итоги'!E20</f>
        <v>3.4570183950319439E-2</v>
      </c>
      <c r="F16" s="1" t="str">
        <f t="shared" si="0"/>
        <v>Есть превышение</v>
      </c>
      <c r="G16" s="1"/>
      <c r="H16" s="1"/>
    </row>
    <row r="17" spans="1:8" ht="24" customHeight="1">
      <c r="A17" s="1" t="str">
        <f>'Исходные итоги'!A21</f>
        <v>C2</v>
      </c>
      <c r="B17" s="5">
        <f>'Исходные итоги'!B21</f>
        <v>5.6762951034707854E-2</v>
      </c>
      <c r="C17" s="5">
        <f>'Исходные итоги'!C21</f>
        <v>2.1071898604595012E-2</v>
      </c>
      <c r="D17" s="5">
        <f>'Исходные итоги'!D21</f>
        <v>0.12404054794354781</v>
      </c>
      <c r="E17" s="5">
        <f>'Исходные итоги'!E21</f>
        <v>1.0030906433859297E-2</v>
      </c>
      <c r="F17" s="1" t="str">
        <f t="shared" si="0"/>
        <v>Есть превышение</v>
      </c>
      <c r="G17" s="1"/>
      <c r="H17" s="1"/>
    </row>
    <row r="18" spans="1:8" ht="24" customHeight="1">
      <c r="A18" s="1" t="str">
        <f>'Исходные итоги'!A22</f>
        <v>C3</v>
      </c>
      <c r="B18" s="5">
        <f>'Исходные итоги'!B22</f>
        <v>4.2474731047176459E-2</v>
      </c>
      <c r="C18" s="5">
        <f>'Исходные итоги'!C22</f>
        <v>0</v>
      </c>
      <c r="D18" s="5">
        <f>'Исходные итоги'!D22</f>
        <v>0.35076578317364504</v>
      </c>
      <c r="E18" s="5">
        <f>'Исходные итоги'!E22</f>
        <v>4.7645227448701054E-2</v>
      </c>
      <c r="F18" s="1" t="str">
        <f t="shared" si="0"/>
        <v>Есть превышение</v>
      </c>
      <c r="G18" s="1"/>
      <c r="H18" s="1"/>
    </row>
    <row r="19" spans="1:8" ht="24" customHeight="1">
      <c r="A19" s="1" t="str">
        <f>'Исходные итоги'!A23</f>
        <v>C4</v>
      </c>
      <c r="B19" s="5">
        <f>'Исходные итоги'!B23</f>
        <v>5.6762951034707521E-2</v>
      </c>
      <c r="C19" s="5">
        <f>'Исходные итоги'!C23</f>
        <v>7.6621633736353764E-2</v>
      </c>
      <c r="D19" s="5">
        <f>'Исходные итоги'!D23</f>
        <v>7.977963093673042E-2</v>
      </c>
      <c r="E19" s="5">
        <f>'Исходные итоги'!E23</f>
        <v>8.3293301141931057E-3</v>
      </c>
      <c r="F19" s="1" t="str">
        <f t="shared" si="0"/>
        <v>В пределах порога</v>
      </c>
      <c r="G19" s="1"/>
      <c r="H19" s="1"/>
    </row>
    <row r="20" spans="1:8" ht="24" customHeight="1">
      <c r="A20" s="1" t="str">
        <f>'Исходные итоги'!A24</f>
        <v>C5</v>
      </c>
      <c r="B20" s="5">
        <f>'Исходные итоги'!B24</f>
        <v>1.7392321864024264E-2</v>
      </c>
      <c r="C20" s="5">
        <f>'Исходные итоги'!C24</f>
        <v>1.6067185706914802E-2</v>
      </c>
      <c r="D20" s="5">
        <f>'Исходные итоги'!D24</f>
        <v>6.2111578862697366E-2</v>
      </c>
      <c r="E20" s="5">
        <f>'Исходные итоги'!E24</f>
        <v>2.5762618786636699E-3</v>
      </c>
      <c r="F20" s="1" t="str">
        <f t="shared" si="0"/>
        <v>В пределах порога</v>
      </c>
      <c r="G20" s="1"/>
      <c r="H20" s="1"/>
    </row>
    <row r="21" spans="1:8" ht="24" customHeight="1">
      <c r="A21" s="1" t="str">
        <f>'Исходные итоги'!A25</f>
        <v>C6</v>
      </c>
      <c r="B21" s="5">
        <f>'Исходные итоги'!B25</f>
        <v>0.15224281715730154</v>
      </c>
      <c r="C21" s="5">
        <f>'Исходные итоги'!C25</f>
        <v>1.6067185706914802E-2</v>
      </c>
      <c r="D21" s="5">
        <f>'Исходные итоги'!D25</f>
        <v>0.10254211459760214</v>
      </c>
      <c r="E21" s="5">
        <f>'Исходные итоги'!E25</f>
        <v>4.1404146197382953E-2</v>
      </c>
      <c r="F21" s="1" t="str">
        <f t="shared" si="0"/>
        <v>Есть превышение</v>
      </c>
      <c r="G21" s="1"/>
      <c r="H21" s="1"/>
    </row>
    <row r="22" spans="1:8" ht="24" customHeight="1">
      <c r="A22" s="1"/>
      <c r="B22" s="1"/>
      <c r="C22" s="1"/>
      <c r="D22" s="1"/>
      <c r="E22" s="1"/>
      <c r="F22" s="1"/>
      <c r="G22" s="1"/>
      <c r="H22" s="1"/>
    </row>
    <row r="23" spans="1:8" ht="25.95" customHeight="1">
      <c r="A23" s="11" t="s">
        <v>33</v>
      </c>
      <c r="B23" s="11"/>
      <c r="C23" s="11"/>
      <c r="D23" s="11"/>
      <c r="E23" s="11"/>
      <c r="F23" s="11"/>
      <c r="G23" s="11"/>
      <c r="H23" s="11"/>
    </row>
    <row r="24" spans="1:8" ht="25.95" customHeight="1">
      <c r="A24" s="11"/>
      <c r="B24" s="11"/>
      <c r="C24" s="11"/>
      <c r="D24" s="11"/>
      <c r="E24" s="11"/>
      <c r="F24" s="11"/>
      <c r="G24" s="11"/>
      <c r="H24" s="11"/>
    </row>
    <row r="25" spans="1:8" ht="25.95" customHeight="1">
      <c r="A25" s="11"/>
      <c r="B25" s="11"/>
      <c r="C25" s="11"/>
      <c r="D25" s="11"/>
      <c r="E25" s="11"/>
      <c r="F25" s="11"/>
      <c r="G25" s="11"/>
      <c r="H25" s="11"/>
    </row>
    <row r="26" spans="1:8" ht="24" customHeight="1">
      <c r="A26" s="1"/>
      <c r="B26" s="1"/>
      <c r="C26" s="1"/>
      <c r="D26" s="1"/>
      <c r="E26" s="1"/>
      <c r="F26" s="1"/>
      <c r="G26" s="1"/>
      <c r="H26" s="1"/>
    </row>
    <row r="27" spans="1:8" ht="24" customHeight="1">
      <c r="A27" s="1"/>
      <c r="B27" s="1"/>
      <c r="C27" s="1"/>
      <c r="D27" s="1"/>
      <c r="E27" s="1"/>
      <c r="F27" s="1"/>
      <c r="G27" s="1"/>
      <c r="H27" s="1"/>
    </row>
    <row r="28" spans="1:8" ht="24" customHeight="1">
      <c r="A28" s="1"/>
      <c r="B28" s="1"/>
      <c r="C28" s="1"/>
      <c r="D28" s="1"/>
      <c r="E28" s="1"/>
      <c r="F28" s="1"/>
      <c r="G28" s="1"/>
      <c r="H28" s="1"/>
    </row>
    <row r="29" spans="1:8" ht="24" customHeight="1">
      <c r="A29" s="1"/>
      <c r="B29" s="1"/>
      <c r="C29" s="1"/>
      <c r="D29" s="1"/>
      <c r="E29" s="1"/>
      <c r="F29" s="1"/>
      <c r="G29" s="1"/>
      <c r="H29" s="1"/>
    </row>
    <row r="30" spans="1:8" ht="24" customHeight="1">
      <c r="A30" s="1"/>
      <c r="B30" s="1"/>
      <c r="C30" s="1"/>
      <c r="D30" s="1"/>
      <c r="E30" s="1"/>
      <c r="F30" s="1"/>
      <c r="G30" s="1"/>
      <c r="H30" s="1"/>
    </row>
    <row r="31" spans="1:8" ht="24" customHeight="1">
      <c r="A31" s="1"/>
      <c r="B31" s="1"/>
      <c r="C31" s="1"/>
      <c r="D31" s="1"/>
      <c r="E31" s="1"/>
      <c r="F31" s="1"/>
      <c r="G31" s="1"/>
      <c r="H31" s="1"/>
    </row>
    <row r="32" spans="1:8" ht="24" customHeight="1">
      <c r="A32" s="1"/>
      <c r="B32" s="1"/>
      <c r="C32" s="1"/>
      <c r="D32" s="1"/>
      <c r="E32" s="1"/>
      <c r="F32" s="1"/>
      <c r="G32" s="1"/>
      <c r="H32" s="1"/>
    </row>
    <row r="33" spans="1:8" ht="24" customHeight="1">
      <c r="A33" s="1"/>
      <c r="B33" s="1"/>
      <c r="C33" s="1"/>
      <c r="D33" s="1"/>
      <c r="E33" s="1"/>
      <c r="F33" s="1"/>
      <c r="G33" s="1"/>
      <c r="H33" s="1"/>
    </row>
    <row r="34" spans="1:8" ht="24" customHeight="1">
      <c r="A34" s="1"/>
      <c r="B34" s="1"/>
      <c r="C34" s="1"/>
      <c r="D34" s="1"/>
      <c r="E34" s="1"/>
      <c r="F34" s="1"/>
      <c r="G34" s="1"/>
      <c r="H34" s="1"/>
    </row>
    <row r="35" spans="1:8" ht="24" customHeight="1">
      <c r="A35" s="1"/>
      <c r="B35" s="1"/>
      <c r="C35" s="1"/>
      <c r="D35" s="1"/>
      <c r="E35" s="1"/>
      <c r="F35" s="1"/>
      <c r="G35" s="1"/>
      <c r="H35" s="1"/>
    </row>
    <row r="36" spans="1:8" ht="24" customHeight="1">
      <c r="A36" s="1"/>
      <c r="B36" s="1"/>
      <c r="C36" s="1"/>
      <c r="D36" s="1"/>
      <c r="E36" s="1"/>
      <c r="F36" s="1"/>
      <c r="G36" s="1"/>
      <c r="H36" s="1"/>
    </row>
    <row r="37" spans="1:8" ht="24" customHeight="1">
      <c r="A37" s="1"/>
      <c r="B37" s="1"/>
      <c r="C37" s="1"/>
      <c r="D37" s="1"/>
      <c r="E37" s="1"/>
      <c r="F37" s="1"/>
      <c r="G37" s="1"/>
      <c r="H37" s="1"/>
    </row>
    <row r="38" spans="1:8" ht="24" customHeight="1">
      <c r="A38" s="1"/>
      <c r="B38" s="1"/>
      <c r="C38" s="1"/>
      <c r="D38" s="1"/>
      <c r="E38" s="1"/>
      <c r="F38" s="1"/>
      <c r="G38" s="1"/>
      <c r="H38" s="1"/>
    </row>
    <row r="39" spans="1:8" ht="24" customHeight="1">
      <c r="A39" s="1"/>
      <c r="B39" s="1"/>
      <c r="C39" s="1"/>
      <c r="D39" s="1"/>
      <c r="E39" s="1"/>
      <c r="F39" s="1"/>
      <c r="G39" s="1"/>
      <c r="H39" s="1"/>
    </row>
    <row r="40" spans="1:8" ht="24" customHeight="1">
      <c r="A40" s="1"/>
      <c r="B40" s="1"/>
      <c r="C40" s="1"/>
      <c r="D40" s="1"/>
      <c r="E40" s="1"/>
      <c r="F40" s="1"/>
      <c r="G40" s="1"/>
      <c r="H40" s="1"/>
    </row>
  </sheetData>
  <mergeCells count="2">
    <mergeCell ref="A10:H11"/>
    <mergeCell ref="A23:H25"/>
  </mergeCells>
  <conditionalFormatting sqref="A5:H8">
    <cfRule type="expression" dxfId="1" priority="1">
      <formula>AND($D5=1,$F5=1)</formula>
    </cfRule>
  </conditionalFormatting>
  <conditionalFormatting sqref="B15:E21">
    <cfRule type="cellIs" dxfId="0" priority="2" operator="greaterThan">
      <formula>0.1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A2" zoomScale="82" workbookViewId="0">
      <selection activeCell="E7" sqref="E7"/>
    </sheetView>
  </sheetViews>
  <sheetFormatPr defaultRowHeight="17.399999999999999"/>
  <cols>
    <col min="1" max="1" width="15" style="2" customWidth="1"/>
    <col min="2" max="2" width="41.09765625" style="2" customWidth="1"/>
    <col min="3" max="5" width="21" style="2" customWidth="1"/>
    <col min="6" max="8" width="12" style="2" customWidth="1"/>
    <col min="9" max="16384" width="8.796875" style="2"/>
  </cols>
  <sheetData>
    <row r="1" spans="1:8" ht="24" customHeight="1">
      <c r="A1" s="10" t="s">
        <v>16</v>
      </c>
      <c r="B1" s="1"/>
      <c r="C1" s="1"/>
      <c r="D1" s="1"/>
      <c r="E1" s="1"/>
      <c r="F1" s="1"/>
      <c r="G1" s="1"/>
      <c r="H1" s="1"/>
    </row>
    <row r="2" spans="1:8" ht="24" customHeight="1">
      <c r="A2" s="1"/>
      <c r="B2" s="1"/>
      <c r="C2" s="1"/>
      <c r="D2" s="1"/>
      <c r="E2" s="1"/>
      <c r="F2" s="1"/>
      <c r="G2" s="1"/>
      <c r="H2" s="1"/>
    </row>
    <row r="3" spans="1:8" ht="24" customHeight="1">
      <c r="A3" s="1"/>
      <c r="B3" s="1"/>
      <c r="C3" s="1"/>
      <c r="D3" s="1"/>
      <c r="E3" s="1"/>
      <c r="F3" s="1"/>
      <c r="G3" s="1"/>
      <c r="H3" s="1"/>
    </row>
    <row r="4" spans="1:8" ht="40.049999999999997" customHeight="1">
      <c r="A4" s="3" t="s">
        <v>17</v>
      </c>
      <c r="B4" s="3" t="s">
        <v>2</v>
      </c>
      <c r="C4" s="3" t="s">
        <v>3</v>
      </c>
      <c r="D4" s="3" t="s">
        <v>4</v>
      </c>
      <c r="E4" s="1"/>
      <c r="F4" s="1"/>
      <c r="G4" s="1"/>
      <c r="H4" s="1"/>
    </row>
    <row r="5" spans="1:8" ht="42" customHeight="1">
      <c r="A5" s="1" t="s">
        <v>18</v>
      </c>
      <c r="B5" s="6" t="s">
        <v>22</v>
      </c>
      <c r="C5" s="5">
        <v>0.34461491002146843</v>
      </c>
      <c r="D5" s="1">
        <v>4</v>
      </c>
      <c r="E5" s="1"/>
      <c r="F5" s="1"/>
      <c r="G5" s="1"/>
      <c r="H5" s="1"/>
    </row>
    <row r="6" spans="1:8" ht="42" customHeight="1">
      <c r="A6" s="7" t="s">
        <v>19</v>
      </c>
      <c r="B6" s="8" t="s">
        <v>23</v>
      </c>
      <c r="C6" s="9">
        <v>0.67141952800967342</v>
      </c>
      <c r="D6" s="7">
        <v>1</v>
      </c>
      <c r="E6" s="1"/>
      <c r="F6" s="1"/>
      <c r="G6" s="1"/>
      <c r="H6" s="1"/>
    </row>
    <row r="7" spans="1:8" ht="42" customHeight="1">
      <c r="A7" s="1" t="s">
        <v>20</v>
      </c>
      <c r="B7" s="6" t="s">
        <v>24</v>
      </c>
      <c r="C7" s="5">
        <v>0.40975765126529728</v>
      </c>
      <c r="D7" s="1">
        <v>2</v>
      </c>
      <c r="E7" s="1"/>
      <c r="F7" s="1"/>
      <c r="G7" s="1"/>
      <c r="H7" s="1"/>
    </row>
    <row r="8" spans="1:8" ht="42" customHeight="1">
      <c r="A8" s="1" t="s">
        <v>21</v>
      </c>
      <c r="B8" s="6" t="s">
        <v>25</v>
      </c>
      <c r="C8" s="5">
        <v>0.37395215727700121</v>
      </c>
      <c r="D8" s="1">
        <v>3</v>
      </c>
      <c r="E8" s="1"/>
      <c r="F8" s="1"/>
      <c r="G8" s="1"/>
      <c r="H8" s="1"/>
    </row>
    <row r="9" spans="1:8" ht="24" customHeight="1">
      <c r="A9" s="1"/>
      <c r="B9" s="1"/>
      <c r="C9" s="1"/>
      <c r="D9" s="1"/>
      <c r="E9" s="1"/>
      <c r="F9" s="1"/>
      <c r="G9" s="1"/>
      <c r="H9" s="1"/>
    </row>
    <row r="10" spans="1:8" ht="24" customHeight="1">
      <c r="A10" s="1"/>
      <c r="B10" s="1"/>
      <c r="C10" s="1"/>
      <c r="D10" s="1"/>
      <c r="E10" s="1"/>
      <c r="F10" s="1"/>
      <c r="G10" s="1"/>
      <c r="H10" s="1"/>
    </row>
    <row r="11" spans="1:8" ht="40.049999999999997" customHeight="1">
      <c r="A11" s="3" t="s">
        <v>17</v>
      </c>
      <c r="B11" s="3" t="s">
        <v>2</v>
      </c>
      <c r="C11" s="3" t="s">
        <v>5</v>
      </c>
      <c r="D11" s="3" t="s">
        <v>6</v>
      </c>
      <c r="E11" s="1"/>
      <c r="F11" s="1"/>
      <c r="G11" s="1"/>
      <c r="H11" s="1"/>
    </row>
    <row r="12" spans="1:8" ht="42" customHeight="1">
      <c r="A12" s="1" t="s">
        <v>18</v>
      </c>
      <c r="B12" s="4" t="s">
        <v>22</v>
      </c>
      <c r="C12" s="5">
        <v>0.17550953855888818</v>
      </c>
      <c r="D12" s="1">
        <v>3</v>
      </c>
      <c r="E12" s="1"/>
      <c r="F12" s="1"/>
      <c r="G12" s="1"/>
      <c r="H12" s="1"/>
    </row>
    <row r="13" spans="1:8" ht="42" customHeight="1">
      <c r="A13" s="7" t="s">
        <v>19</v>
      </c>
      <c r="B13" s="8" t="s">
        <v>23</v>
      </c>
      <c r="C13" s="9">
        <v>0.44093762051790941</v>
      </c>
      <c r="D13" s="7">
        <v>1</v>
      </c>
      <c r="E13" s="1"/>
      <c r="F13" s="1"/>
      <c r="G13" s="1"/>
      <c r="H13" s="1"/>
    </row>
    <row r="14" spans="1:8" ht="42" customHeight="1">
      <c r="A14" s="1" t="s">
        <v>20</v>
      </c>
      <c r="B14" s="4" t="s">
        <v>24</v>
      </c>
      <c r="C14" s="5">
        <v>0.22638832435624107</v>
      </c>
      <c r="D14" s="1">
        <v>2</v>
      </c>
      <c r="E14" s="1"/>
      <c r="F14" s="1"/>
      <c r="G14" s="1"/>
      <c r="H14" s="1"/>
    </row>
    <row r="15" spans="1:8" ht="42" customHeight="1">
      <c r="A15" s="1" t="s">
        <v>21</v>
      </c>
      <c r="B15" s="4" t="s">
        <v>25</v>
      </c>
      <c r="C15" s="5">
        <v>0.15716451656696134</v>
      </c>
      <c r="D15" s="1">
        <v>4</v>
      </c>
      <c r="E15" s="1"/>
      <c r="F15" s="1"/>
      <c r="G15" s="1"/>
      <c r="H15" s="1"/>
    </row>
    <row r="16" spans="1:8" ht="24" customHeight="1">
      <c r="A16" s="1"/>
      <c r="B16" s="1"/>
      <c r="C16" s="1"/>
      <c r="D16" s="1"/>
      <c r="E16" s="1"/>
      <c r="F16" s="1"/>
      <c r="G16" s="1"/>
      <c r="H16" s="1"/>
    </row>
    <row r="17" spans="1:8" ht="24" customHeight="1">
      <c r="A17" s="1"/>
      <c r="B17" s="1"/>
      <c r="C17" s="1"/>
      <c r="D17" s="1"/>
      <c r="E17" s="1"/>
      <c r="F17" s="1"/>
      <c r="G17" s="1"/>
      <c r="H17" s="1"/>
    </row>
    <row r="18" spans="1:8" ht="40.049999999999997" customHeight="1">
      <c r="A18" s="3" t="s">
        <v>10</v>
      </c>
      <c r="B18" s="3" t="s">
        <v>11</v>
      </c>
      <c r="C18" s="3" t="s">
        <v>12</v>
      </c>
      <c r="D18" s="3" t="s">
        <v>13</v>
      </c>
      <c r="E18" s="3" t="s">
        <v>14</v>
      </c>
      <c r="F18" s="1"/>
      <c r="G18" s="1"/>
      <c r="H18" s="1"/>
    </row>
    <row r="19" spans="1:8" ht="24" customHeight="1">
      <c r="A19" s="1" t="s">
        <v>26</v>
      </c>
      <c r="B19" s="5">
        <v>7.4508291449322098E-2</v>
      </c>
      <c r="C19" s="5">
        <v>7.0400613463059772E-3</v>
      </c>
      <c r="D19" s="5">
        <v>0.11365526607547044</v>
      </c>
      <c r="E19" s="5">
        <v>2.4787163162106142E-2</v>
      </c>
      <c r="F19" s="1"/>
      <c r="G19" s="1"/>
      <c r="H19" s="1"/>
    </row>
    <row r="20" spans="1:8" ht="24" customHeight="1">
      <c r="A20" s="1" t="s">
        <v>27</v>
      </c>
      <c r="B20" s="5">
        <v>4.2474731047176459E-2</v>
      </c>
      <c r="C20" s="5">
        <v>0</v>
      </c>
      <c r="D20" s="5">
        <v>0.16393731068661685</v>
      </c>
      <c r="E20" s="5">
        <v>3.4570183950319439E-2</v>
      </c>
      <c r="F20" s="1"/>
      <c r="G20" s="1"/>
      <c r="H20" s="1"/>
    </row>
    <row r="21" spans="1:8" ht="24" customHeight="1">
      <c r="A21" s="1" t="s">
        <v>28</v>
      </c>
      <c r="B21" s="5">
        <v>5.6762951034707854E-2</v>
      </c>
      <c r="C21" s="5">
        <v>2.1071898604595012E-2</v>
      </c>
      <c r="D21" s="5">
        <v>0.12404054794354781</v>
      </c>
      <c r="E21" s="5">
        <v>1.0030906433859297E-2</v>
      </c>
      <c r="F21" s="1"/>
      <c r="G21" s="1"/>
      <c r="H21" s="1"/>
    </row>
    <row r="22" spans="1:8" ht="24" customHeight="1">
      <c r="A22" s="1" t="s">
        <v>29</v>
      </c>
      <c r="B22" s="5">
        <v>4.2474731047176459E-2</v>
      </c>
      <c r="C22" s="5">
        <v>0</v>
      </c>
      <c r="D22" s="5">
        <v>0.35076578317364504</v>
      </c>
      <c r="E22" s="5">
        <v>4.7645227448701054E-2</v>
      </c>
      <c r="F22" s="1"/>
      <c r="G22" s="1"/>
      <c r="H22" s="1"/>
    </row>
    <row r="23" spans="1:8" ht="24" customHeight="1">
      <c r="A23" s="1" t="s">
        <v>30</v>
      </c>
      <c r="B23" s="5">
        <v>5.6762951034707521E-2</v>
      </c>
      <c r="C23" s="5">
        <v>7.6621633736353764E-2</v>
      </c>
      <c r="D23" s="5">
        <v>7.977963093673042E-2</v>
      </c>
      <c r="E23" s="5">
        <v>8.3293301141931057E-3</v>
      </c>
      <c r="F23" s="1"/>
      <c r="G23" s="1"/>
      <c r="H23" s="1"/>
    </row>
    <row r="24" spans="1:8" ht="24" customHeight="1">
      <c r="A24" s="1" t="s">
        <v>31</v>
      </c>
      <c r="B24" s="5">
        <v>1.7392321864024264E-2</v>
      </c>
      <c r="C24" s="5">
        <v>1.6067185706914802E-2</v>
      </c>
      <c r="D24" s="5">
        <v>6.2111578862697366E-2</v>
      </c>
      <c r="E24" s="5">
        <v>2.5762618786636699E-3</v>
      </c>
      <c r="F24" s="1"/>
      <c r="G24" s="1"/>
      <c r="H24" s="1"/>
    </row>
    <row r="25" spans="1:8" ht="24" customHeight="1">
      <c r="A25" s="1" t="s">
        <v>32</v>
      </c>
      <c r="B25" s="5">
        <v>0.15224281715730154</v>
      </c>
      <c r="C25" s="5">
        <v>1.6067185706914802E-2</v>
      </c>
      <c r="D25" s="5">
        <v>0.10254211459760214</v>
      </c>
      <c r="E25" s="5">
        <v>4.1404146197382953E-2</v>
      </c>
      <c r="F25" s="1"/>
      <c r="G25" s="1"/>
      <c r="H25" s="1"/>
    </row>
    <row r="26" spans="1:8" ht="24" customHeight="1">
      <c r="A26" s="1"/>
      <c r="B26" s="1"/>
      <c r="C26" s="1"/>
      <c r="D26" s="1"/>
      <c r="E26" s="1"/>
      <c r="F26" s="1"/>
      <c r="G26" s="1"/>
      <c r="H26" s="1"/>
    </row>
    <row r="27" spans="1:8" ht="24" customHeight="1">
      <c r="A27" s="1"/>
      <c r="B27" s="1"/>
      <c r="C27" s="1"/>
      <c r="D27" s="1"/>
      <c r="E27" s="1"/>
      <c r="F27" s="1"/>
      <c r="G27" s="1"/>
      <c r="H27" s="1"/>
    </row>
    <row r="28" spans="1:8" ht="24" customHeight="1">
      <c r="A28" s="1"/>
      <c r="B28" s="1"/>
      <c r="C28" s="1"/>
      <c r="D28" s="1"/>
      <c r="E28" s="1"/>
      <c r="F28" s="1"/>
      <c r="G28" s="1"/>
      <c r="H28" s="1"/>
    </row>
    <row r="29" spans="1:8" ht="24" customHeight="1">
      <c r="A29" s="4"/>
      <c r="B29" s="4"/>
      <c r="C29" s="4"/>
      <c r="D29" s="4"/>
      <c r="E29" s="4"/>
      <c r="F29" s="4"/>
      <c r="G29" s="4"/>
      <c r="H29" s="4"/>
    </row>
    <row r="30" spans="1:8" ht="24" customHeight="1">
      <c r="A30" s="4"/>
      <c r="B30" s="4"/>
      <c r="C30" s="4"/>
      <c r="D30" s="4"/>
      <c r="E30" s="4"/>
      <c r="F30" s="4"/>
      <c r="G30" s="4"/>
      <c r="H30" s="4"/>
    </row>
    <row r="31" spans="1:8" ht="24" customHeight="1">
      <c r="A31" s="1"/>
      <c r="B31" s="1"/>
      <c r="C31" s="1"/>
      <c r="D31" s="1"/>
      <c r="E31" s="1"/>
      <c r="F31" s="1"/>
      <c r="G31" s="1"/>
      <c r="H31" s="1"/>
    </row>
    <row r="32" spans="1:8" ht="24" customHeight="1">
      <c r="A32" s="1"/>
      <c r="B32" s="1"/>
      <c r="C32" s="1"/>
      <c r="D32" s="1"/>
      <c r="E32" s="1"/>
      <c r="F32" s="1"/>
      <c r="G32" s="1"/>
      <c r="H32" s="1"/>
    </row>
    <row r="33" spans="1:8" ht="24" customHeight="1">
      <c r="A33" s="4"/>
      <c r="B33" s="4"/>
      <c r="C33" s="4"/>
      <c r="D33" s="4"/>
      <c r="E33" s="4"/>
      <c r="F33" s="4"/>
      <c r="G33" s="4"/>
      <c r="H33" s="4"/>
    </row>
    <row r="34" spans="1:8" ht="24" customHeight="1">
      <c r="A34" s="4"/>
      <c r="B34" s="4"/>
      <c r="C34" s="4"/>
      <c r="D34" s="4"/>
      <c r="E34" s="4"/>
      <c r="F34" s="4"/>
      <c r="G34" s="4"/>
      <c r="H34" s="4"/>
    </row>
    <row r="35" spans="1:8" ht="24" customHeight="1">
      <c r="A35" s="4"/>
      <c r="B35" s="4"/>
      <c r="C35" s="4"/>
      <c r="D35" s="4"/>
      <c r="E35" s="4"/>
      <c r="F35" s="4"/>
      <c r="G35" s="4"/>
      <c r="H35" s="4"/>
    </row>
    <row r="36" spans="1:8" ht="24" customHeight="1">
      <c r="A36" s="1"/>
      <c r="B36" s="1"/>
      <c r="C36" s="1"/>
      <c r="D36" s="1"/>
      <c r="E36" s="1"/>
      <c r="F36" s="1"/>
      <c r="G36" s="1"/>
      <c r="H36" s="1"/>
    </row>
    <row r="37" spans="1:8" ht="24" customHeight="1">
      <c r="A37" s="1"/>
      <c r="B37" s="1"/>
      <c r="C37" s="1"/>
      <c r="D37" s="1"/>
      <c r="E37" s="1"/>
      <c r="F37" s="1"/>
      <c r="G37" s="1"/>
      <c r="H37" s="1"/>
    </row>
    <row r="38" spans="1:8" ht="24" customHeight="1">
      <c r="A38" s="1"/>
      <c r="B38" s="1"/>
      <c r="C38" s="1"/>
      <c r="D38" s="1"/>
      <c r="E38" s="1"/>
      <c r="F38" s="1"/>
      <c r="G38" s="1"/>
      <c r="H38" s="1"/>
    </row>
    <row r="39" spans="1:8" ht="24" customHeight="1">
      <c r="A39" s="1"/>
      <c r="B39" s="1"/>
      <c r="C39" s="1"/>
      <c r="D39" s="1"/>
      <c r="E39" s="1"/>
      <c r="F39" s="1"/>
      <c r="G39" s="1"/>
      <c r="H39" s="1"/>
    </row>
    <row r="40" spans="1:8" ht="24" customHeight="1">
      <c r="A40" s="1"/>
      <c r="B40" s="1"/>
      <c r="C40" s="1"/>
      <c r="D40" s="1"/>
      <c r="E40" s="1"/>
      <c r="F40" s="1"/>
      <c r="G40" s="1"/>
      <c r="H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Сравнение</vt:lpstr>
      <vt:lpstr>Исходные итоги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osfraulein</dc:creator>
  <cp:lastModifiedBy>osfraulein</cp:lastModifiedBy>
  <dcterms:created xsi:type="dcterms:W3CDTF">2026-10-10T19:48:40Z</dcterms:created>
  <dcterms:modified xsi:type="dcterms:W3CDTF">2026-10-10T20:02:20Z</dcterms:modified>
</cp:coreProperties>
</file>